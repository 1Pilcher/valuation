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valuation\research\"/>
    </mc:Choice>
  </mc:AlternateContent>
  <xr:revisionPtr revIDLastSave="0" documentId="13_ncr:1_{6ED47018-CCE6-4AC8-BB83-86670AE06E5E}" xr6:coauthVersionLast="47" xr6:coauthVersionMax="47" xr10:uidLastSave="{00000000-0000-0000-0000-000000000000}"/>
  <bookViews>
    <workbookView xWindow="11364" yWindow="0" windowWidth="11676" windowHeight="13680" xr2:uid="{0201537C-6EF5-41F1-B00A-CE60980AF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C70" i="1"/>
  <c r="D65" i="1"/>
  <c r="C65" i="1"/>
  <c r="C63" i="1"/>
  <c r="C62" i="1"/>
  <c r="C61" i="1"/>
  <c r="C59" i="1"/>
  <c r="D51" i="1"/>
  <c r="C51" i="1"/>
  <c r="D45" i="1"/>
  <c r="C45" i="1"/>
  <c r="D34" i="1"/>
  <c r="D38" i="1" s="1"/>
  <c r="C34" i="1"/>
  <c r="C38" i="1" s="1"/>
  <c r="D24" i="1"/>
  <c r="D27" i="1" s="1"/>
  <c r="C24" i="1"/>
  <c r="C27" i="1" s="1"/>
  <c r="D8" i="1"/>
  <c r="D9" i="1" s="1"/>
  <c r="D10" i="1" s="1"/>
  <c r="C8" i="1"/>
  <c r="C9" i="1" s="1"/>
  <c r="C10" i="1" s="1"/>
  <c r="E118" i="1"/>
  <c r="E117" i="1"/>
  <c r="D119" i="1"/>
  <c r="C119" i="1"/>
  <c r="C46" i="1" l="1"/>
  <c r="D46" i="1"/>
  <c r="E119" i="1"/>
  <c r="C121" i="1" s="1"/>
  <c r="C13" i="1"/>
  <c r="C14" i="1" s="1"/>
  <c r="D13" i="1"/>
  <c r="D14" i="1" s="1"/>
</calcChain>
</file>

<file path=xl/sharedStrings.xml><?xml version="1.0" encoding="utf-8"?>
<sst xmlns="http://schemas.openxmlformats.org/spreadsheetml/2006/main" count="78" uniqueCount="65">
  <si>
    <t>INCOME STATEMENT</t>
  </si>
  <si>
    <t>BALANCE SHEET</t>
  </si>
  <si>
    <t>CASHFLOW STATEMENT</t>
  </si>
  <si>
    <t>COLLABORATION REVENUE</t>
  </si>
  <si>
    <t>OPERATING EXPENSES:</t>
  </si>
  <si>
    <t>X</t>
  </si>
  <si>
    <t>DEBT SCHEDULE</t>
  </si>
  <si>
    <t>TERM LOAN, CURRENT</t>
  </si>
  <si>
    <t>TERM LOAN, LONG-TERM</t>
  </si>
  <si>
    <t>TERM LOAN, TOTAL</t>
  </si>
  <si>
    <t>AVERAGE</t>
  </si>
  <si>
    <t>INTEREST EXPENSE</t>
  </si>
  <si>
    <t>INTEREST RATE</t>
  </si>
  <si>
    <t>GENERAL &amp; ADMINISTRATIVE</t>
  </si>
  <si>
    <t>RESEARCH &amp; DEVELOPMENT</t>
  </si>
  <si>
    <t>TOTAL OPERATING EXPENSES:</t>
  </si>
  <si>
    <t>OPERATING PROFIT</t>
  </si>
  <si>
    <t>OPERATING MARGIN</t>
  </si>
  <si>
    <t>INTEREST &amp; OTHER INCOME, NET</t>
  </si>
  <si>
    <t>NET INCOME</t>
  </si>
  <si>
    <t>NET MARGIN</t>
  </si>
  <si>
    <t>FY</t>
  </si>
  <si>
    <t>ASSETS</t>
  </si>
  <si>
    <t>CURRENT ASSETS:</t>
  </si>
  <si>
    <t>CASH &amp; CASH EQUIVALENTS</t>
  </si>
  <si>
    <t>PREPAID EXPENSES</t>
  </si>
  <si>
    <t>OTHER CURRENT ASSETS</t>
  </si>
  <si>
    <t>TOTAL CURRENT ASSETS:</t>
  </si>
  <si>
    <t>RIGHT-OF-USE ASSETS</t>
  </si>
  <si>
    <t>OTHER ASSETS</t>
  </si>
  <si>
    <t>TOTAL ASSETS:</t>
  </si>
  <si>
    <t>CURRENT LIABILITIES:</t>
  </si>
  <si>
    <t>ACCOUNTS PAYABLE</t>
  </si>
  <si>
    <t>ACCRUED EXPENSES &amp; OTHER CURRENT LIABILITIES</t>
  </si>
  <si>
    <t>TERM LOAN, CURRENT PORTION</t>
  </si>
  <si>
    <t>DEFERRED REVENUE</t>
  </si>
  <si>
    <t>TOTAL CURRENT LIABILITIES:</t>
  </si>
  <si>
    <t>LEASE LIABILITIES, NET OF CURRENT PORTION</t>
  </si>
  <si>
    <t>TERM LOAN, NET OF CURRENT PORTION</t>
  </si>
  <si>
    <t>OTHER LIABILITIES</t>
  </si>
  <si>
    <t>TOTAL LIABILITIES:</t>
  </si>
  <si>
    <t>COMMITMENTS &amp; CONTENGINCIES</t>
  </si>
  <si>
    <t>STOCKHOLDERS' EQUITY</t>
  </si>
  <si>
    <t>LIABILITIES</t>
  </si>
  <si>
    <t>PREFERRED STOCK</t>
  </si>
  <si>
    <t>COMMON STOCK</t>
  </si>
  <si>
    <t>ADDITIONAL PAID-IN CAPITAL</t>
  </si>
  <si>
    <t>RETAINED EARNINGS</t>
  </si>
  <si>
    <t>TOTAL STOCKHOLDERS' EQUITY:</t>
  </si>
  <si>
    <t>TOTAL LIABILITIES &amp; STOCKHOLDERS' EQUITY</t>
  </si>
  <si>
    <t>CASH FLOWS FROM OPERATING ACTIVITIES</t>
  </si>
  <si>
    <t>ADJUSTMENTS:</t>
  </si>
  <si>
    <t>STOCK-BASED COMPENSATION EXPENSE</t>
  </si>
  <si>
    <t>DEPRECIATION &amp; AMORTIZATION</t>
  </si>
  <si>
    <t>NET ACCRETION OF DISCOUNT ON AFS SECURITIES</t>
  </si>
  <si>
    <t>NON-CASH LEASE EXPENSE</t>
  </si>
  <si>
    <t>LOSS ON DISPOSAL OF PP&amp;E</t>
  </si>
  <si>
    <t>CHANGES IN OPERATING ASSETS &amp; LIABILITIES:</t>
  </si>
  <si>
    <t>PREPAID EXPENSES &amp; OTHER CURRENT ASSETS</t>
  </si>
  <si>
    <t>NET CASH USED IN OPERATING ACTIVITIES</t>
  </si>
  <si>
    <t>CASH FLOWS FROM INVESTING ACTIVITIES</t>
  </si>
  <si>
    <t>PROCEEDS FROM MATURITIES OF INVESTMENTS</t>
  </si>
  <si>
    <t>PURCHASES OF INVESTMENTS</t>
  </si>
  <si>
    <t>PURCHASES OF PP&amp;E</t>
  </si>
  <si>
    <t>NET CASH PROVIDED BY 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</si>
</sst>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9D4C-30E4-42F7-A2D3-3EA94112F41C}">
  <sheetPr codeName="Sheet1"/>
  <dimension ref="A2:E121"/>
  <sheetViews>
    <sheetView tabSelected="1" topLeftCell="A40" workbookViewId="0">
      <selection activeCell="D70" sqref="D70"/>
    </sheetView>
  </sheetViews>
  <sheetFormatPr defaultRowHeight="14.4" x14ac:dyDescent="0.55000000000000004"/>
  <cols>
    <col min="1" max="1" width="1.68359375" style="2" bestFit="1" customWidth="1"/>
    <col min="2" max="2" width="41.68359375" bestFit="1" customWidth="1"/>
    <col min="3" max="4" width="9.734375" bestFit="1" customWidth="1"/>
  </cols>
  <sheetData>
    <row r="2" spans="1:4" x14ac:dyDescent="0.55000000000000004">
      <c r="A2" s="2" t="s">
        <v>5</v>
      </c>
      <c r="B2" t="s">
        <v>0</v>
      </c>
      <c r="C2" s="2" t="s">
        <v>21</v>
      </c>
      <c r="D2" s="2" t="s">
        <v>21</v>
      </c>
    </row>
    <row r="3" spans="1:4" x14ac:dyDescent="0.55000000000000004">
      <c r="C3" s="2">
        <v>2024</v>
      </c>
      <c r="D3" s="2">
        <v>2023</v>
      </c>
    </row>
    <row r="4" spans="1:4" x14ac:dyDescent="0.55000000000000004">
      <c r="B4" t="s">
        <v>3</v>
      </c>
      <c r="C4">
        <v>4911</v>
      </c>
      <c r="D4">
        <v>10089</v>
      </c>
    </row>
    <row r="5" spans="1:4" x14ac:dyDescent="0.55000000000000004">
      <c r="B5" t="s">
        <v>4</v>
      </c>
    </row>
    <row r="6" spans="1:4" x14ac:dyDescent="0.55000000000000004">
      <c r="B6" t="s">
        <v>14</v>
      </c>
      <c r="C6">
        <v>46418</v>
      </c>
      <c r="D6">
        <v>49432</v>
      </c>
    </row>
    <row r="7" spans="1:4" x14ac:dyDescent="0.55000000000000004">
      <c r="B7" t="s">
        <v>13</v>
      </c>
      <c r="C7">
        <v>14644</v>
      </c>
      <c r="D7">
        <v>12650</v>
      </c>
    </row>
    <row r="8" spans="1:4" x14ac:dyDescent="0.55000000000000004">
      <c r="B8" t="s">
        <v>15</v>
      </c>
      <c r="C8">
        <f>SUM(C6:C7)</f>
        <v>61062</v>
      </c>
      <c r="D8">
        <f>SUM(D6:D7)</f>
        <v>62082</v>
      </c>
    </row>
    <row r="9" spans="1:4" x14ac:dyDescent="0.55000000000000004">
      <c r="B9" t="s">
        <v>16</v>
      </c>
      <c r="C9">
        <f>C4-C8</f>
        <v>-56151</v>
      </c>
      <c r="D9">
        <f>D4-D8</f>
        <v>-51993</v>
      </c>
    </row>
    <row r="10" spans="1:4" x14ac:dyDescent="0.55000000000000004">
      <c r="B10" t="s">
        <v>17</v>
      </c>
      <c r="C10">
        <f>C9/C4</f>
        <v>-11.433720219914477</v>
      </c>
      <c r="D10">
        <f>D9/D4</f>
        <v>-5.1534344335414808</v>
      </c>
    </row>
    <row r="11" spans="1:4" x14ac:dyDescent="0.55000000000000004">
      <c r="B11" t="s">
        <v>11</v>
      </c>
      <c r="C11">
        <v>-307</v>
      </c>
      <c r="D11">
        <v>-483</v>
      </c>
    </row>
    <row r="12" spans="1:4" x14ac:dyDescent="0.55000000000000004">
      <c r="B12" t="s">
        <v>18</v>
      </c>
      <c r="C12">
        <v>3422</v>
      </c>
      <c r="D12">
        <v>4557</v>
      </c>
    </row>
    <row r="13" spans="1:4" x14ac:dyDescent="0.55000000000000004">
      <c r="B13" t="s">
        <v>19</v>
      </c>
      <c r="C13">
        <f>SUM(C9,C11:C12)</f>
        <v>-53036</v>
      </c>
      <c r="D13">
        <f>SUM(D9,D11:D12)</f>
        <v>-47919</v>
      </c>
    </row>
    <row r="14" spans="1:4" x14ac:dyDescent="0.55000000000000004">
      <c r="B14" t="s">
        <v>20</v>
      </c>
      <c r="C14">
        <f>C13/C4</f>
        <v>-10.799429851354104</v>
      </c>
      <c r="D14">
        <f>D13/D4</f>
        <v>-4.7496283080582815</v>
      </c>
    </row>
    <row r="16" spans="1:4" x14ac:dyDescent="0.55000000000000004">
      <c r="C16" s="2" t="s">
        <v>21</v>
      </c>
      <c r="D16" s="2" t="s">
        <v>21</v>
      </c>
    </row>
    <row r="17" spans="1:4" x14ac:dyDescent="0.55000000000000004">
      <c r="C17" s="2">
        <v>2024</v>
      </c>
      <c r="D17" s="2">
        <v>2023</v>
      </c>
    </row>
    <row r="18" spans="1:4" x14ac:dyDescent="0.55000000000000004">
      <c r="A18" s="2" t="s">
        <v>5</v>
      </c>
      <c r="B18" t="s">
        <v>1</v>
      </c>
    </row>
    <row r="19" spans="1:4" x14ac:dyDescent="0.55000000000000004">
      <c r="B19" t="s">
        <v>22</v>
      </c>
    </row>
    <row r="20" spans="1:4" x14ac:dyDescent="0.55000000000000004">
      <c r="B20" t="s">
        <v>23</v>
      </c>
    </row>
    <row r="21" spans="1:4" x14ac:dyDescent="0.55000000000000004">
      <c r="B21" t="s">
        <v>24</v>
      </c>
      <c r="C21" s="3">
        <v>38753</v>
      </c>
      <c r="D21" s="3">
        <v>96339</v>
      </c>
    </row>
    <row r="22" spans="1:4" x14ac:dyDescent="0.55000000000000004">
      <c r="B22" t="s">
        <v>25</v>
      </c>
      <c r="C22" s="3">
        <v>3177</v>
      </c>
      <c r="D22" s="3">
        <v>3876</v>
      </c>
    </row>
    <row r="23" spans="1:4" x14ac:dyDescent="0.55000000000000004">
      <c r="B23" t="s">
        <v>26</v>
      </c>
      <c r="C23" s="3">
        <v>2276</v>
      </c>
      <c r="D23" s="3">
        <v>1968</v>
      </c>
    </row>
    <row r="24" spans="1:4" x14ac:dyDescent="0.55000000000000004">
      <c r="B24" t="s">
        <v>27</v>
      </c>
      <c r="C24" s="3">
        <f>SUM(C21:C23)</f>
        <v>44206</v>
      </c>
      <c r="D24" s="3">
        <f t="shared" ref="D24" si="0">SUM(D21:D23)</f>
        <v>102183</v>
      </c>
    </row>
    <row r="25" spans="1:4" x14ac:dyDescent="0.55000000000000004">
      <c r="B25" t="s">
        <v>28</v>
      </c>
      <c r="C25" s="3">
        <v>934</v>
      </c>
      <c r="D25" s="3">
        <v>1181</v>
      </c>
    </row>
    <row r="26" spans="1:4" x14ac:dyDescent="0.55000000000000004">
      <c r="B26" t="s">
        <v>29</v>
      </c>
      <c r="C26" s="3">
        <v>69</v>
      </c>
      <c r="D26" s="3">
        <v>582</v>
      </c>
    </row>
    <row r="27" spans="1:4" x14ac:dyDescent="0.55000000000000004">
      <c r="B27" t="s">
        <v>30</v>
      </c>
      <c r="C27" s="3">
        <f>SUM(C24:C26)</f>
        <v>45209</v>
      </c>
      <c r="D27" s="3">
        <f>SUM(D24:D26)</f>
        <v>103946</v>
      </c>
    </row>
    <row r="28" spans="1:4" x14ac:dyDescent="0.55000000000000004">
      <c r="B28" t="s">
        <v>43</v>
      </c>
      <c r="C28" s="3"/>
      <c r="D28" s="3"/>
    </row>
    <row r="29" spans="1:4" x14ac:dyDescent="0.55000000000000004">
      <c r="B29" t="s">
        <v>31</v>
      </c>
      <c r="C29" s="3"/>
      <c r="D29" s="3"/>
    </row>
    <row r="30" spans="1:4" x14ac:dyDescent="0.55000000000000004">
      <c r="B30" t="s">
        <v>32</v>
      </c>
      <c r="C30" s="3">
        <v>1295</v>
      </c>
      <c r="D30" s="3">
        <v>3332</v>
      </c>
    </row>
    <row r="31" spans="1:4" x14ac:dyDescent="0.55000000000000004">
      <c r="B31" t="s">
        <v>33</v>
      </c>
      <c r="C31" s="3">
        <v>12329</v>
      </c>
      <c r="D31" s="3">
        <v>14600</v>
      </c>
    </row>
    <row r="32" spans="1:4" x14ac:dyDescent="0.55000000000000004">
      <c r="B32" t="s">
        <v>34</v>
      </c>
      <c r="C32" s="3">
        <v>1622</v>
      </c>
      <c r="D32" s="3">
        <v>1622</v>
      </c>
    </row>
    <row r="33" spans="2:4" x14ac:dyDescent="0.55000000000000004">
      <c r="B33" t="s">
        <v>35</v>
      </c>
      <c r="C33" s="3">
        <v>0</v>
      </c>
      <c r="D33" s="3">
        <v>4911</v>
      </c>
    </row>
    <row r="34" spans="2:4" x14ac:dyDescent="0.55000000000000004">
      <c r="B34" t="s">
        <v>36</v>
      </c>
      <c r="C34" s="3">
        <f>SUM(C30:C33)</f>
        <v>15246</v>
      </c>
      <c r="D34" s="3">
        <f>SUM(D30:D33)</f>
        <v>24465</v>
      </c>
    </row>
    <row r="35" spans="2:4" x14ac:dyDescent="0.55000000000000004">
      <c r="B35" t="s">
        <v>37</v>
      </c>
      <c r="C35" s="3">
        <v>736</v>
      </c>
      <c r="D35" s="3">
        <v>1019</v>
      </c>
    </row>
    <row r="36" spans="2:4" x14ac:dyDescent="0.55000000000000004">
      <c r="B36" t="s">
        <v>38</v>
      </c>
      <c r="C36" s="3">
        <v>124</v>
      </c>
      <c r="D36" s="3">
        <v>1717</v>
      </c>
    </row>
    <row r="37" spans="2:4" x14ac:dyDescent="0.55000000000000004">
      <c r="B37" t="s">
        <v>39</v>
      </c>
      <c r="C37" s="3">
        <v>282</v>
      </c>
      <c r="D37" s="3">
        <v>236</v>
      </c>
    </row>
    <row r="38" spans="2:4" x14ac:dyDescent="0.55000000000000004">
      <c r="B38" t="s">
        <v>40</v>
      </c>
      <c r="C38" s="3">
        <f>SUM(C34:C37)</f>
        <v>16388</v>
      </c>
      <c r="D38" s="3">
        <f>SUM(D34:D37)</f>
        <v>27437</v>
      </c>
    </row>
    <row r="39" spans="2:4" x14ac:dyDescent="0.55000000000000004">
      <c r="B39" t="s">
        <v>41</v>
      </c>
      <c r="C39" s="3"/>
      <c r="D39" s="3"/>
    </row>
    <row r="40" spans="2:4" x14ac:dyDescent="0.55000000000000004">
      <c r="B40" t="s">
        <v>42</v>
      </c>
      <c r="C40" s="3"/>
      <c r="D40" s="3"/>
    </row>
    <row r="41" spans="2:4" x14ac:dyDescent="0.55000000000000004">
      <c r="B41" t="s">
        <v>44</v>
      </c>
      <c r="C41" s="3">
        <v>0</v>
      </c>
      <c r="D41" s="3">
        <v>0</v>
      </c>
    </row>
    <row r="42" spans="2:4" x14ac:dyDescent="0.55000000000000004">
      <c r="B42" t="s">
        <v>45</v>
      </c>
      <c r="C42" s="3">
        <v>4</v>
      </c>
      <c r="D42" s="3">
        <v>4</v>
      </c>
    </row>
    <row r="43" spans="2:4" x14ac:dyDescent="0.55000000000000004">
      <c r="B43" t="s">
        <v>46</v>
      </c>
      <c r="C43" s="3">
        <v>279085</v>
      </c>
      <c r="D43" s="3">
        <v>273737</v>
      </c>
    </row>
    <row r="44" spans="2:4" x14ac:dyDescent="0.55000000000000004">
      <c r="B44" t="s">
        <v>47</v>
      </c>
      <c r="C44" s="3">
        <v>-250268</v>
      </c>
      <c r="D44" s="3">
        <v>-197232</v>
      </c>
    </row>
    <row r="45" spans="2:4" x14ac:dyDescent="0.55000000000000004">
      <c r="B45" t="s">
        <v>48</v>
      </c>
      <c r="C45" s="3">
        <f>SUM(C41:C44)</f>
        <v>28821</v>
      </c>
      <c r="D45" s="3">
        <f>SUM(D41:D44)</f>
        <v>76509</v>
      </c>
    </row>
    <row r="46" spans="2:4" x14ac:dyDescent="0.55000000000000004">
      <c r="B46" t="s">
        <v>49</v>
      </c>
      <c r="C46" s="3">
        <f>SUM(C45,C38)</f>
        <v>45209</v>
      </c>
      <c r="D46" s="3">
        <f>SUM(D45,D38)</f>
        <v>103946</v>
      </c>
    </row>
    <row r="49" spans="1:4" x14ac:dyDescent="0.55000000000000004">
      <c r="A49" s="2" t="s">
        <v>5</v>
      </c>
      <c r="B49" t="s">
        <v>2</v>
      </c>
    </row>
    <row r="50" spans="1:4" x14ac:dyDescent="0.55000000000000004">
      <c r="B50" t="s">
        <v>50</v>
      </c>
    </row>
    <row r="51" spans="1:4" x14ac:dyDescent="0.55000000000000004">
      <c r="B51" t="s">
        <v>19</v>
      </c>
      <c r="C51">
        <f>C13</f>
        <v>-53036</v>
      </c>
      <c r="D51">
        <f>D13</f>
        <v>-47919</v>
      </c>
    </row>
    <row r="52" spans="1:4" x14ac:dyDescent="0.55000000000000004">
      <c r="B52" t="s">
        <v>51</v>
      </c>
    </row>
    <row r="53" spans="1:4" x14ac:dyDescent="0.55000000000000004">
      <c r="B53" t="s">
        <v>52</v>
      </c>
      <c r="C53">
        <v>5348</v>
      </c>
    </row>
    <row r="54" spans="1:4" x14ac:dyDescent="0.55000000000000004">
      <c r="B54" t="s">
        <v>53</v>
      </c>
      <c r="C54">
        <v>46</v>
      </c>
    </row>
    <row r="55" spans="1:4" x14ac:dyDescent="0.55000000000000004">
      <c r="B55" t="s">
        <v>54</v>
      </c>
      <c r="C55">
        <v>0</v>
      </c>
    </row>
    <row r="56" spans="1:4" x14ac:dyDescent="0.55000000000000004">
      <c r="B56" t="s">
        <v>55</v>
      </c>
      <c r="C56">
        <v>247</v>
      </c>
    </row>
    <row r="57" spans="1:4" x14ac:dyDescent="0.55000000000000004">
      <c r="B57" t="s">
        <v>56</v>
      </c>
      <c r="C57">
        <v>2</v>
      </c>
    </row>
    <row r="58" spans="1:4" x14ac:dyDescent="0.55000000000000004">
      <c r="B58" t="s">
        <v>57</v>
      </c>
    </row>
    <row r="59" spans="1:4" x14ac:dyDescent="0.55000000000000004">
      <c r="B59" t="s">
        <v>58</v>
      </c>
      <c r="C59" s="3">
        <f>SUM(D22:D23)-SUM(C22:C23)</f>
        <v>391</v>
      </c>
      <c r="D59">
        <v>391</v>
      </c>
    </row>
    <row r="60" spans="1:4" x14ac:dyDescent="0.55000000000000004">
      <c r="B60" t="s">
        <v>29</v>
      </c>
      <c r="C60" s="3"/>
    </row>
    <row r="61" spans="1:4" x14ac:dyDescent="0.55000000000000004">
      <c r="B61" t="s">
        <v>32</v>
      </c>
      <c r="C61" s="3">
        <f>C30-D30</f>
        <v>-2037</v>
      </c>
    </row>
    <row r="62" spans="1:4" x14ac:dyDescent="0.55000000000000004">
      <c r="B62" t="s">
        <v>33</v>
      </c>
      <c r="C62" s="3">
        <f>C31-D31</f>
        <v>-2271</v>
      </c>
      <c r="D62">
        <v>2271</v>
      </c>
    </row>
    <row r="63" spans="1:4" x14ac:dyDescent="0.55000000000000004">
      <c r="B63" t="s">
        <v>35</v>
      </c>
      <c r="C63" s="3">
        <f>C33-D33</f>
        <v>-4911</v>
      </c>
    </row>
    <row r="64" spans="1:4" x14ac:dyDescent="0.55000000000000004">
      <c r="B64" t="s">
        <v>39</v>
      </c>
      <c r="C64" s="3"/>
      <c r="D64" s="3"/>
    </row>
    <row r="65" spans="2:4" x14ac:dyDescent="0.55000000000000004">
      <c r="B65" t="s">
        <v>59</v>
      </c>
      <c r="C65">
        <f>SUM(C51:C64)</f>
        <v>-56221</v>
      </c>
      <c r="D65">
        <f>SUM(D51:D64)</f>
        <v>-45257</v>
      </c>
    </row>
    <row r="66" spans="2:4" x14ac:dyDescent="0.55000000000000004">
      <c r="B66" t="s">
        <v>60</v>
      </c>
    </row>
    <row r="67" spans="2:4" x14ac:dyDescent="0.55000000000000004">
      <c r="B67" t="s">
        <v>61</v>
      </c>
      <c r="C67">
        <v>0</v>
      </c>
      <c r="D67">
        <v>67665</v>
      </c>
    </row>
    <row r="68" spans="2:4" x14ac:dyDescent="0.55000000000000004">
      <c r="B68" t="s">
        <v>62</v>
      </c>
      <c r="C68">
        <v>0</v>
      </c>
      <c r="D68">
        <v>-11881</v>
      </c>
    </row>
    <row r="69" spans="2:4" x14ac:dyDescent="0.55000000000000004">
      <c r="B69" t="s">
        <v>63</v>
      </c>
      <c r="C69">
        <v>0</v>
      </c>
      <c r="D69">
        <v>-7</v>
      </c>
    </row>
    <row r="70" spans="2:4" x14ac:dyDescent="0.55000000000000004">
      <c r="B70" t="s">
        <v>64</v>
      </c>
      <c r="C70">
        <f>SUM(C67:C69)</f>
        <v>0</v>
      </c>
      <c r="D70">
        <f>SUM(D67:D69)</f>
        <v>55777</v>
      </c>
    </row>
    <row r="116" spans="1:5" x14ac:dyDescent="0.55000000000000004">
      <c r="A116" s="2" t="s">
        <v>5</v>
      </c>
      <c r="B116" t="s">
        <v>6</v>
      </c>
      <c r="C116" s="2">
        <v>2024</v>
      </c>
      <c r="D116" s="2">
        <v>2023</v>
      </c>
      <c r="E116" s="2" t="s">
        <v>10</v>
      </c>
    </row>
    <row r="117" spans="1:5" x14ac:dyDescent="0.55000000000000004">
      <c r="B117" t="s">
        <v>7</v>
      </c>
      <c r="C117" s="3">
        <v>1622</v>
      </c>
      <c r="D117" s="3">
        <v>1622</v>
      </c>
      <c r="E117" s="3">
        <f>AVERAGE(C117:D117)</f>
        <v>1622</v>
      </c>
    </row>
    <row r="118" spans="1:5" x14ac:dyDescent="0.55000000000000004">
      <c r="B118" t="s">
        <v>8</v>
      </c>
      <c r="C118" s="3">
        <v>124</v>
      </c>
      <c r="D118" s="3">
        <v>1717</v>
      </c>
      <c r="E118" s="3">
        <f t="shared" ref="E118:E119" si="1">AVERAGE(C118:D118)</f>
        <v>920.5</v>
      </c>
    </row>
    <row r="119" spans="1:5" x14ac:dyDescent="0.55000000000000004">
      <c r="B119" t="s">
        <v>9</v>
      </c>
      <c r="C119" s="3">
        <f>SUM(C117:C118)</f>
        <v>1746</v>
      </c>
      <c r="D119" s="3">
        <f>SUM(D117:D118)</f>
        <v>3339</v>
      </c>
      <c r="E119" s="3">
        <f t="shared" si="1"/>
        <v>2542.5</v>
      </c>
    </row>
    <row r="120" spans="1:5" x14ac:dyDescent="0.55000000000000004">
      <c r="B120" t="s">
        <v>11</v>
      </c>
      <c r="C120" s="3">
        <v>307</v>
      </c>
      <c r="D120" s="3">
        <v>483</v>
      </c>
      <c r="E120" s="3"/>
    </row>
    <row r="121" spans="1:5" x14ac:dyDescent="0.55000000000000004">
      <c r="B121" t="s">
        <v>12</v>
      </c>
      <c r="C121" s="1">
        <f>C120/$E$119</f>
        <v>0.12074729596853491</v>
      </c>
      <c r="D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2025-10-07T16:13:48Z</dcterms:created>
  <dcterms:modified xsi:type="dcterms:W3CDTF">2025-10-07T17:59:43Z</dcterms:modified>
</cp:coreProperties>
</file>