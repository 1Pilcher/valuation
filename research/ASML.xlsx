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ilc\Desktop\valuation\research\"/>
    </mc:Choice>
  </mc:AlternateContent>
  <xr:revisionPtr revIDLastSave="0" documentId="13_ncr:1_{33B00891-C8AE-4B37-9631-997F18E2D796}" xr6:coauthVersionLast="47" xr6:coauthVersionMax="47" xr10:uidLastSave="{00000000-0000-0000-0000-000000000000}"/>
  <bookViews>
    <workbookView xWindow="-96" yWindow="-96" windowWidth="23232" windowHeight="13872" xr2:uid="{DD10A83A-2A5B-40DC-BABC-557A4958E4AF}"/>
  </bookViews>
  <sheets>
    <sheet name="ASML" sheetId="1" r:id="rId1"/>
    <sheet name="Statements of Operations" sheetId="2" r:id="rId2"/>
    <sheet name="Comprehensive Income" sheetId="3" r:id="rId3"/>
    <sheet name="Balance Sheets" sheetId="4" r:id="rId4"/>
    <sheet name="Shareholder Equity" sheetId="5" r:id="rId5"/>
    <sheet name="Cash Flow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0" i="1" l="1"/>
  <c r="L156" i="1"/>
  <c r="K160" i="1"/>
  <c r="L153" i="1"/>
  <c r="K153" i="1"/>
  <c r="L147" i="1"/>
  <c r="K147" i="1"/>
  <c r="L138" i="1"/>
  <c r="L139" i="1"/>
  <c r="K139" i="1"/>
  <c r="K138" i="1"/>
  <c r="L126" i="1"/>
  <c r="L130" i="1"/>
  <c r="K130" i="1"/>
  <c r="L137" i="1"/>
  <c r="K137" i="1"/>
  <c r="L112" i="1"/>
  <c r="K112" i="1"/>
  <c r="L83" i="1"/>
  <c r="K83" i="1"/>
  <c r="L79" i="1"/>
  <c r="K79" i="1"/>
  <c r="L69" i="1"/>
  <c r="K69" i="1"/>
  <c r="L62" i="1"/>
  <c r="K62" i="1"/>
  <c r="L51" i="1"/>
  <c r="K51" i="1"/>
  <c r="L38" i="1"/>
  <c r="K38" i="1"/>
  <c r="L71" i="1" l="1"/>
  <c r="K71" i="1"/>
  <c r="K81" i="1" s="1"/>
  <c r="L81" i="1"/>
  <c r="L53" i="1"/>
  <c r="K53" i="1"/>
  <c r="M23" i="1"/>
  <c r="N23" i="1" s="1"/>
  <c r="O23" i="1" s="1"/>
  <c r="P23" i="1" s="1"/>
  <c r="Q23" i="1" s="1"/>
  <c r="R23" i="1" s="1"/>
  <c r="S23" i="1" s="1"/>
  <c r="T23" i="1" s="1"/>
  <c r="U23" i="1" s="1"/>
  <c r="V23" i="1" s="1"/>
  <c r="L7" i="1"/>
  <c r="M5" i="1"/>
  <c r="M15" i="1"/>
  <c r="N15" i="1" s="1"/>
  <c r="O15" i="1" s="1"/>
  <c r="P15" i="1" s="1"/>
  <c r="Q15" i="1" s="1"/>
  <c r="R15" i="1" s="1"/>
  <c r="S15" i="1" s="1"/>
  <c r="T15" i="1" s="1"/>
  <c r="U15" i="1" s="1"/>
  <c r="V15" i="1" s="1"/>
  <c r="L17" i="1"/>
  <c r="M10" i="1"/>
  <c r="N10" i="1" s="1"/>
  <c r="O10" i="1" s="1"/>
  <c r="P10" i="1" s="1"/>
  <c r="Q10" i="1" s="1"/>
  <c r="R10" i="1" s="1"/>
  <c r="S10" i="1" s="1"/>
  <c r="T10" i="1" s="1"/>
  <c r="U10" i="1" s="1"/>
  <c r="V10" i="1" s="1"/>
  <c r="E17" i="1"/>
  <c r="D17" i="1"/>
  <c r="C17" i="1"/>
  <c r="E11" i="1"/>
  <c r="D11" i="1"/>
  <c r="C11" i="1"/>
  <c r="E7" i="1"/>
  <c r="D7" i="1"/>
  <c r="C7" i="1"/>
  <c r="G17" i="1"/>
  <c r="H17" i="1"/>
  <c r="I17" i="1"/>
  <c r="J17" i="1"/>
  <c r="K17" i="1"/>
  <c r="F17" i="1"/>
  <c r="H11" i="1"/>
  <c r="G11" i="1"/>
  <c r="F11" i="1"/>
  <c r="H7" i="1"/>
  <c r="G7" i="1"/>
  <c r="F7" i="1"/>
  <c r="K7" i="1"/>
  <c r="K11" i="1"/>
  <c r="J11" i="1"/>
  <c r="J7" i="1"/>
  <c r="I11" i="1"/>
  <c r="I7" i="1"/>
  <c r="L11" i="1" l="1"/>
  <c r="L12" i="1" s="1"/>
  <c r="L18" i="1" s="1"/>
  <c r="L20" i="1" s="1"/>
  <c r="L22" i="1" s="1"/>
  <c r="L24" i="1" s="1"/>
  <c r="M6" i="1"/>
  <c r="N6" i="1" s="1"/>
  <c r="O6" i="1" s="1"/>
  <c r="P6" i="1" s="1"/>
  <c r="Q6" i="1" s="1"/>
  <c r="R6" i="1" s="1"/>
  <c r="S6" i="1" s="1"/>
  <c r="T6" i="1" s="1"/>
  <c r="U6" i="1" s="1"/>
  <c r="V6" i="1" s="1"/>
  <c r="N5" i="1"/>
  <c r="O5" i="1" s="1"/>
  <c r="P5" i="1" s="1"/>
  <c r="Q5" i="1" s="1"/>
  <c r="R5" i="1" s="1"/>
  <c r="M14" i="1"/>
  <c r="M9" i="1"/>
  <c r="N9" i="1" s="1"/>
  <c r="N11" i="1" s="1"/>
  <c r="D12" i="1"/>
  <c r="E12" i="1"/>
  <c r="C12" i="1"/>
  <c r="H12" i="1"/>
  <c r="G12" i="1"/>
  <c r="F12" i="1"/>
  <c r="I12" i="1"/>
  <c r="K12" i="1"/>
  <c r="J12" i="1"/>
  <c r="O9" i="1" l="1"/>
  <c r="O11" i="1" s="1"/>
  <c r="M7" i="1"/>
  <c r="S5" i="1"/>
  <c r="R7" i="1"/>
  <c r="Q7" i="1"/>
  <c r="N7" i="1"/>
  <c r="N12" i="1" s="1"/>
  <c r="P7" i="1"/>
  <c r="O7" i="1"/>
  <c r="M17" i="1"/>
  <c r="N14" i="1"/>
  <c r="M11" i="1"/>
  <c r="J18" i="1"/>
  <c r="K18" i="1"/>
  <c r="I18" i="1"/>
  <c r="F18" i="1"/>
  <c r="G18" i="1"/>
  <c r="H18" i="1"/>
  <c r="C18" i="1"/>
  <c r="E18" i="1"/>
  <c r="D18" i="1"/>
  <c r="M12" i="1" l="1"/>
  <c r="M18" i="1" s="1"/>
  <c r="M20" i="1" s="1"/>
  <c r="M21" i="1" s="1"/>
  <c r="M22" i="1" s="1"/>
  <c r="M24" i="1" s="1"/>
  <c r="P9" i="1"/>
  <c r="P11" i="1" s="1"/>
  <c r="P12" i="1" s="1"/>
  <c r="T5" i="1"/>
  <c r="S7" i="1"/>
  <c r="O12" i="1"/>
  <c r="O14" i="1"/>
  <c r="N17" i="1"/>
  <c r="N18" i="1" s="1"/>
  <c r="N20" i="1" s="1"/>
  <c r="N21" i="1" s="1"/>
  <c r="N22" i="1" s="1"/>
  <c r="N24" i="1" s="1"/>
  <c r="E20" i="1"/>
  <c r="C20" i="1"/>
  <c r="C22" i="1" s="1"/>
  <c r="C24" i="1" s="1"/>
  <c r="H20" i="1"/>
  <c r="H22" i="1" s="1"/>
  <c r="H24" i="1" s="1"/>
  <c r="G20" i="1"/>
  <c r="F20" i="1"/>
  <c r="I20" i="1"/>
  <c r="K20" i="1"/>
  <c r="K22" i="1" s="1"/>
  <c r="K24" i="1" s="1"/>
  <c r="D20" i="1"/>
  <c r="J20" i="1"/>
  <c r="Q9" i="1" l="1"/>
  <c r="Q11" i="1" s="1"/>
  <c r="Q12" i="1" s="1"/>
  <c r="U5" i="1"/>
  <c r="T7" i="1"/>
  <c r="D22" i="1"/>
  <c r="E22" i="1"/>
  <c r="P14" i="1"/>
  <c r="O17" i="1"/>
  <c r="O18" i="1" s="1"/>
  <c r="O20" i="1" s="1"/>
  <c r="O21" i="1" s="1"/>
  <c r="O22" i="1" s="1"/>
  <c r="O24" i="1" s="1"/>
  <c r="J22" i="1"/>
  <c r="I22" i="1"/>
  <c r="G22" i="1"/>
  <c r="F22" i="1"/>
  <c r="R9" i="1" l="1"/>
  <c r="S9" i="1" s="1"/>
  <c r="V5" i="1"/>
  <c r="V7" i="1" s="1"/>
  <c r="U7" i="1"/>
  <c r="D24" i="1"/>
  <c r="E24" i="1"/>
  <c r="P17" i="1"/>
  <c r="P18" i="1" s="1"/>
  <c r="P20" i="1" s="1"/>
  <c r="P21" i="1" s="1"/>
  <c r="P22" i="1" s="1"/>
  <c r="P24" i="1" s="1"/>
  <c r="Q14" i="1"/>
  <c r="J24" i="1"/>
  <c r="I24" i="1"/>
  <c r="G24" i="1"/>
  <c r="F24" i="1"/>
  <c r="R11" i="1" l="1"/>
  <c r="R12" i="1" s="1"/>
  <c r="Q17" i="1"/>
  <c r="Q18" i="1" s="1"/>
  <c r="Q20" i="1" s="1"/>
  <c r="Q21" i="1" s="1"/>
  <c r="Q22" i="1" s="1"/>
  <c r="Q24" i="1" s="1"/>
  <c r="R14" i="1"/>
  <c r="T9" i="1"/>
  <c r="S11" i="1"/>
  <c r="S12" i="1" s="1"/>
  <c r="S14" i="1" l="1"/>
  <c r="R17" i="1"/>
  <c r="R18" i="1" s="1"/>
  <c r="R20" i="1" s="1"/>
  <c r="R21" i="1" s="1"/>
  <c r="R22" i="1" s="1"/>
  <c r="R24" i="1" s="1"/>
  <c r="U9" i="1"/>
  <c r="T11" i="1"/>
  <c r="T12" i="1" s="1"/>
  <c r="V9" i="1" l="1"/>
  <c r="V11" i="1" s="1"/>
  <c r="V12" i="1" s="1"/>
  <c r="U11" i="1"/>
  <c r="U12" i="1" s="1"/>
  <c r="T14" i="1"/>
  <c r="S17" i="1"/>
  <c r="S18" i="1" s="1"/>
  <c r="S20" i="1" s="1"/>
  <c r="S21" i="1" s="1"/>
  <c r="S22" i="1" s="1"/>
  <c r="S24" i="1" s="1"/>
  <c r="U14" i="1" l="1"/>
  <c r="T17" i="1"/>
  <c r="T18" i="1" s="1"/>
  <c r="T20" i="1" s="1"/>
  <c r="T21" i="1" s="1"/>
  <c r="T22" i="1" s="1"/>
  <c r="T24" i="1" s="1"/>
  <c r="U17" i="1" l="1"/>
  <c r="U18" i="1" s="1"/>
  <c r="U20" i="1" s="1"/>
  <c r="U21" i="1" s="1"/>
  <c r="U22" i="1" s="1"/>
  <c r="U24" i="1" s="1"/>
  <c r="V14" i="1"/>
  <c r="V17" i="1" s="1"/>
  <c r="V18" i="1" s="1"/>
  <c r="V20" i="1" s="1"/>
  <c r="V21" i="1" l="1"/>
  <c r="V22" i="1" s="1"/>
  <c r="V24" i="1" s="1"/>
  <c r="W24" i="1" s="1"/>
  <c r="X24" i="1" s="1"/>
  <c r="Y24" i="1" s="1"/>
  <c r="Z24" i="1" s="1"/>
  <c r="AA24" i="1" s="1"/>
  <c r="AB24" i="1" s="1"/>
  <c r="AC24" i="1" s="1"/>
  <c r="AD24" i="1" s="1"/>
  <c r="AE24" i="1" s="1"/>
  <c r="AF24" i="1" s="1"/>
  <c r="AG24" i="1" s="1"/>
  <c r="AH24" i="1" s="1"/>
  <c r="AI24" i="1" s="1"/>
  <c r="AJ24" i="1" s="1"/>
  <c r="AK24" i="1" s="1"/>
  <c r="AL24" i="1" s="1"/>
  <c r="AM24" i="1" s="1"/>
  <c r="AN24" i="1" s="1"/>
  <c r="AO24" i="1" s="1"/>
  <c r="AP24" i="1" s="1"/>
  <c r="AQ24" i="1" s="1"/>
  <c r="AR24" i="1" s="1"/>
  <c r="AS24" i="1" s="1"/>
  <c r="AT24" i="1" s="1"/>
  <c r="AU24" i="1" s="1"/>
  <c r="AV24" i="1" s="1"/>
  <c r="AW24" i="1" s="1"/>
  <c r="AX24" i="1" s="1"/>
  <c r="AY24" i="1" s="1"/>
  <c r="AZ24" i="1" s="1"/>
  <c r="BA24" i="1" s="1"/>
  <c r="BB24" i="1" s="1"/>
  <c r="BC24" i="1" s="1"/>
  <c r="BD24" i="1" s="1"/>
  <c r="BE24" i="1" s="1"/>
  <c r="BF24" i="1" s="1"/>
  <c r="BG24" i="1" s="1"/>
  <c r="BH24" i="1" s="1"/>
  <c r="BI24" i="1" s="1"/>
  <c r="BJ24" i="1" s="1"/>
  <c r="BK24" i="1" s="1"/>
  <c r="BL24" i="1" s="1"/>
  <c r="BM24" i="1" s="1"/>
  <c r="BN24" i="1" s="1"/>
  <c r="BO24" i="1" s="1"/>
  <c r="BP24" i="1" s="1"/>
  <c r="BQ24" i="1" s="1"/>
  <c r="BR24" i="1" s="1"/>
  <c r="BS24" i="1" s="1"/>
  <c r="BT24" i="1" s="1"/>
  <c r="BU24" i="1" s="1"/>
  <c r="BV24" i="1" s="1"/>
  <c r="BW24" i="1" s="1"/>
  <c r="BX24" i="1" s="1"/>
  <c r="BY24" i="1" s="1"/>
  <c r="BZ24" i="1" s="1"/>
  <c r="CA24" i="1" s="1"/>
  <c r="CB24" i="1" s="1"/>
  <c r="CC24" i="1" s="1"/>
  <c r="CD24" i="1" s="1"/>
  <c r="CE24" i="1" s="1"/>
  <c r="CF24" i="1" s="1"/>
  <c r="CG24" i="1" s="1"/>
  <c r="CH24" i="1" s="1"/>
  <c r="CI24" i="1" s="1"/>
  <c r="CJ24" i="1" s="1"/>
  <c r="CK24" i="1" s="1"/>
  <c r="CL24" i="1" s="1"/>
  <c r="CM24" i="1" s="1"/>
  <c r="CN24" i="1" s="1"/>
  <c r="CO24" i="1" s="1"/>
  <c r="CP24" i="1" s="1"/>
  <c r="CQ24" i="1" s="1"/>
  <c r="CR24" i="1" s="1"/>
  <c r="CS24" i="1" s="1"/>
  <c r="CT24" i="1" s="1"/>
  <c r="CU24" i="1" s="1"/>
  <c r="CV24" i="1" s="1"/>
  <c r="CW24" i="1" s="1"/>
  <c r="CX24" i="1" s="1"/>
  <c r="CY24" i="1" s="1"/>
  <c r="CZ24" i="1" s="1"/>
  <c r="DA24" i="1" s="1"/>
  <c r="DB24" i="1" s="1"/>
  <c r="DC24" i="1" s="1"/>
  <c r="DD24" i="1" s="1"/>
  <c r="DE24" i="1" s="1"/>
  <c r="DF24" i="1" s="1"/>
  <c r="DG24" i="1" s="1"/>
  <c r="DH24" i="1" s="1"/>
  <c r="DI24" i="1" s="1"/>
  <c r="DJ24" i="1" s="1"/>
  <c r="DK24" i="1" s="1"/>
  <c r="DL24" i="1" s="1"/>
  <c r="DM24" i="1" s="1"/>
  <c r="DN24" i="1" s="1"/>
  <c r="DO24" i="1" s="1"/>
  <c r="DP24" i="1" s="1"/>
  <c r="DQ24" i="1" s="1"/>
  <c r="DR24" i="1" s="1"/>
  <c r="DS24" i="1" s="1"/>
  <c r="DT24" i="1" s="1"/>
  <c r="DU24" i="1" s="1"/>
  <c r="DV24" i="1" s="1"/>
  <c r="DW24" i="1" s="1"/>
  <c r="DX24" i="1" s="1"/>
  <c r="DY24" i="1" s="1"/>
  <c r="DZ24" i="1" s="1"/>
  <c r="EA24" i="1" s="1"/>
  <c r="EB24" i="1" s="1"/>
  <c r="EC24" i="1" s="1"/>
  <c r="ED24" i="1" s="1"/>
  <c r="EE24" i="1" s="1"/>
  <c r="EF24" i="1" s="1"/>
  <c r="EG24" i="1" s="1"/>
  <c r="EH24" i="1" s="1"/>
  <c r="EI24" i="1" s="1"/>
  <c r="EJ24" i="1" s="1"/>
  <c r="EK24" i="1" s="1"/>
  <c r="EL24" i="1" s="1"/>
  <c r="EM24" i="1" s="1"/>
  <c r="EN24" i="1" s="1"/>
  <c r="EO24" i="1" s="1"/>
  <c r="EP24" i="1" s="1"/>
  <c r="EQ24" i="1" s="1"/>
  <c r="ER24" i="1" s="1"/>
  <c r="ES24" i="1" s="1"/>
  <c r="ET24" i="1" s="1"/>
  <c r="EU24" i="1" s="1"/>
  <c r="EV24" i="1" s="1"/>
  <c r="EW24" i="1" s="1"/>
  <c r="EX24" i="1" s="1"/>
  <c r="EY24" i="1" s="1"/>
  <c r="EZ24" i="1" s="1"/>
  <c r="FA24" i="1" s="1"/>
  <c r="FB24" i="1" s="1"/>
  <c r="FC24" i="1" s="1"/>
  <c r="FD24" i="1" s="1"/>
  <c r="FE24" i="1" s="1"/>
  <c r="FF24" i="1" s="1"/>
  <c r="FG24" i="1" s="1"/>
  <c r="FH24" i="1" s="1"/>
  <c r="FI24" i="1" s="1"/>
  <c r="FJ24" i="1" s="1"/>
  <c r="FK24" i="1" s="1"/>
  <c r="FL24" i="1" s="1"/>
  <c r="FM24" i="1" s="1"/>
  <c r="FN24" i="1" s="1"/>
  <c r="FO24" i="1" s="1"/>
  <c r="FP24" i="1" s="1"/>
  <c r="FQ24" i="1" s="1"/>
  <c r="FR24" i="1" s="1"/>
  <c r="FS24" i="1" s="1"/>
  <c r="FT24" i="1" s="1"/>
  <c r="FU24" i="1" s="1"/>
  <c r="FV24" i="1" s="1"/>
  <c r="FW24" i="1" s="1"/>
  <c r="FX24" i="1" s="1"/>
  <c r="FY24" i="1" s="1"/>
  <c r="FZ24" i="1" s="1"/>
  <c r="GA24" i="1" s="1"/>
  <c r="GB24" i="1" s="1"/>
  <c r="GC24" i="1" s="1"/>
  <c r="GD24" i="1" s="1"/>
  <c r="GE24" i="1" s="1"/>
  <c r="GF24" i="1" s="1"/>
  <c r="GG24" i="1" s="1"/>
  <c r="GH24" i="1" s="1"/>
  <c r="GI24" i="1" s="1"/>
  <c r="GJ24" i="1" s="1"/>
  <c r="GK24" i="1" s="1"/>
  <c r="GL24" i="1" s="1"/>
  <c r="GM24" i="1" s="1"/>
  <c r="GN24" i="1" s="1"/>
  <c r="GO24" i="1" s="1"/>
  <c r="GP24" i="1" s="1"/>
  <c r="GQ24" i="1" s="1"/>
  <c r="GR24" i="1" s="1"/>
  <c r="GS24" i="1" s="1"/>
  <c r="GT24" i="1" s="1"/>
  <c r="GU24" i="1" s="1"/>
  <c r="GV24" i="1" s="1"/>
  <c r="GW24" i="1" s="1"/>
  <c r="GX24" i="1" s="1"/>
  <c r="GY24" i="1" s="1"/>
  <c r="GZ24" i="1" s="1"/>
  <c r="HA24" i="1" s="1"/>
  <c r="HB24" i="1" s="1"/>
  <c r="HC24" i="1" s="1"/>
  <c r="HD24" i="1" s="1"/>
  <c r="HE24" i="1" s="1"/>
  <c r="HF24" i="1" s="1"/>
  <c r="HG24" i="1" s="1"/>
  <c r="HH24" i="1" s="1"/>
  <c r="HI24" i="1" s="1"/>
  <c r="HJ24" i="1" s="1"/>
  <c r="HK24" i="1" s="1"/>
  <c r="HL24" i="1" s="1"/>
  <c r="HM24" i="1" s="1"/>
  <c r="HN24" i="1" s="1"/>
  <c r="HO24" i="1" s="1"/>
  <c r="HP24" i="1" s="1"/>
  <c r="HQ24" i="1" s="1"/>
  <c r="HR24" i="1" s="1"/>
  <c r="HS24" i="1" s="1"/>
  <c r="HT24" i="1" s="1"/>
  <c r="HU24" i="1" s="1"/>
  <c r="HV24" i="1" s="1"/>
  <c r="HW24" i="1" s="1"/>
  <c r="HX24" i="1" s="1"/>
  <c r="HY24" i="1" s="1"/>
  <c r="HZ24" i="1" s="1"/>
  <c r="IA24" i="1" s="1"/>
  <c r="IB24" i="1" s="1"/>
  <c r="IC24" i="1" s="1"/>
  <c r="ID24" i="1" s="1"/>
  <c r="IE24" i="1" s="1"/>
  <c r="IF24" i="1" s="1"/>
  <c r="IG24" i="1" s="1"/>
  <c r="IH24" i="1" s="1"/>
  <c r="Z136" i="1" l="1"/>
  <c r="Z137" i="1" s="1"/>
  <c r="Z138" i="1" s="1"/>
  <c r="Z140" i="1" s="1"/>
  <c r="Z141" i="1" s="1"/>
  <c r="Y136" i="1"/>
  <c r="Y137" i="1" s="1"/>
  <c r="Y138" i="1" s="1"/>
  <c r="Y140" i="1" s="1"/>
  <c r="Y141" i="1" s="1"/>
  <c r="X136" i="1"/>
  <c r="X137" i="1" s="1"/>
  <c r="X138" i="1" s="1"/>
  <c r="X140" i="1" s="1"/>
  <c r="X141" i="1" s="1"/>
</calcChain>
</file>

<file path=xl/sharedStrings.xml><?xml version="1.0" encoding="utf-8"?>
<sst xmlns="http://schemas.openxmlformats.org/spreadsheetml/2006/main" count="562" uniqueCount="235">
  <si>
    <t>Revenue</t>
  </si>
  <si>
    <t>FY</t>
  </si>
  <si>
    <t>Income</t>
  </si>
  <si>
    <t>Statement</t>
  </si>
  <si>
    <t>System Revenue</t>
  </si>
  <si>
    <t>Service Revenue</t>
  </si>
  <si>
    <t>Total Revenue</t>
  </si>
  <si>
    <t>Cost Of Revenue</t>
  </si>
  <si>
    <t>Cost Of System Revenue</t>
  </si>
  <si>
    <t>Cost Of Service Revenue</t>
  </si>
  <si>
    <t>Total Cost Of Revenue</t>
  </si>
  <si>
    <t>Gross Profit</t>
  </si>
  <si>
    <t>R/D</t>
  </si>
  <si>
    <t>Other Income</t>
  </si>
  <si>
    <t>Interest &amp; Other</t>
  </si>
  <si>
    <t>Income Tax</t>
  </si>
  <si>
    <t>Net Income</t>
  </si>
  <si>
    <t>Operating Profit (EBIT)</t>
  </si>
  <si>
    <t>SG&amp;A</t>
  </si>
  <si>
    <t>Total Operating Costs</t>
  </si>
  <si>
    <t>Operating Costs</t>
  </si>
  <si>
    <t>Profit from Investments</t>
  </si>
  <si>
    <t>Income after Tax</t>
  </si>
  <si>
    <t>Income before Tax (EBT)</t>
  </si>
  <si>
    <t>Terminal</t>
  </si>
  <si>
    <t>Discount</t>
  </si>
  <si>
    <t>Shares</t>
  </si>
  <si>
    <t>Implied Price - $</t>
  </si>
  <si>
    <t>Implied Price - €</t>
  </si>
  <si>
    <t>Actual Price - $</t>
  </si>
  <si>
    <t>Difference - $</t>
  </si>
  <si>
    <t>NPV - €</t>
  </si>
  <si>
    <t>Status</t>
  </si>
  <si>
    <t>(Lazy) Net Income Discount Model</t>
  </si>
  <si>
    <t>Diluted</t>
  </si>
  <si>
    <t>Basic</t>
  </si>
  <si>
    <t xml:space="preserve">Number of ordinary shares used in computing per share amounts: </t>
  </si>
  <si>
    <t>Diluted net income per ordinary share</t>
  </si>
  <si>
    <t>Basic net income per ordinary share</t>
  </si>
  <si>
    <t>Net income</t>
  </si>
  <si>
    <t>Profit from equity method investments</t>
  </si>
  <si>
    <t>Income after income taxes</t>
  </si>
  <si>
    <t>Income tax expense</t>
  </si>
  <si>
    <t>Income before income taxes</t>
  </si>
  <si>
    <t>Interest and other, net</t>
  </si>
  <si>
    <t>Income from operations</t>
  </si>
  <si>
    <t>Other income</t>
  </si>
  <si>
    <t>Selling, general and administrative (SG&amp;A) costs</t>
  </si>
  <si>
    <t>Research and development (R&amp;D) costs</t>
  </si>
  <si>
    <t>Gross profit</t>
  </si>
  <si>
    <t>Total cost of sales</t>
  </si>
  <si>
    <t>Cost of service and field option sales</t>
  </si>
  <si>
    <t>Cost of system sales</t>
  </si>
  <si>
    <t>Total net sales</t>
  </si>
  <si>
    <t>Net service and field option sales</t>
  </si>
  <si>
    <t>Net system sales</t>
  </si>
  <si>
    <t>2024</t>
  </si>
  <si>
    <t>2023</t>
  </si>
  <si>
    <t>2022</t>
  </si>
  <si>
    <t>Year ended December 31 (€, in millions, except per share data)</t>
  </si>
  <si>
    <t>Consolidated Statements of Operations for the years ended December 31, 2022, 2023 and 2024</t>
  </si>
  <si>
    <t>Always refer to the electronic version of the ASML 2024 Annual Report based on US GAAP for the full and official financial information.</t>
  </si>
  <si>
    <t>Please note: The content of this file is qualified in its entirety by reference to the electronic version of the ASML 2024 Annual Report based on US GAAP and therefore: (i) your local (browser and/or mobile device) settings can influence the way this table and its content is being displayed and (ii) (foot)notes have been deleted for reader's convenience.</t>
  </si>
  <si>
    <t>USGAAP</t>
  </si>
  <si>
    <t>Attributable to equity holders</t>
  </si>
  <si>
    <t>Total comprehensive income, net of taxes</t>
  </si>
  <si>
    <t>Other comprehensive income, net of taxes</t>
  </si>
  <si>
    <t>Transfers to net income</t>
  </si>
  <si>
    <t>Gain (loss) on derivative financial instruments</t>
  </si>
  <si>
    <t>Financial instruments, net of taxes:</t>
  </si>
  <si>
    <t>Gain (loss) on foreign currency translation</t>
  </si>
  <si>
    <t>Foreign currency translation, net of taxes:</t>
  </si>
  <si>
    <t>Proportionate share of OCI from equity method investments</t>
  </si>
  <si>
    <t>Other comprehensive income (OCI):</t>
  </si>
  <si>
    <t>Year ended December 31 (€, in millions)</t>
  </si>
  <si>
    <t>Consolidated Statements of Comprehensive Income for the years ended December 31, 2022, 2023 and 2024</t>
  </si>
  <si>
    <t>Total liabilities and shareholders’ equity</t>
  </si>
  <si>
    <t>Total shareholders’ equity</t>
  </si>
  <si>
    <t>Accumulated other comprehensive income</t>
  </si>
  <si>
    <t>Retained earnings</t>
  </si>
  <si>
    <t>Treasury shares at cost</t>
  </si>
  <si>
    <t>Share premium</t>
  </si>
  <si>
    <t>Issued and outstanding shares</t>
  </si>
  <si>
    <r>
      <rPr>
        <sz val="8"/>
        <color rgb="FF000000"/>
        <rFont val="Arial"/>
        <family val="2"/>
      </rPr>
      <t>393,283,720</t>
    </r>
    <r>
      <rPr>
        <sz val="8"/>
        <color rgb="FF000000"/>
        <rFont val="Arial"/>
        <family val="2"/>
      </rPr>
      <t xml:space="preserve"> issued and outstanding at December 31, </t>
    </r>
    <r>
      <rPr>
        <sz val="8"/>
        <color rgb="FF000000"/>
        <rFont val="Arial"/>
        <family val="2"/>
      </rPr>
      <t>2024</t>
    </r>
    <r>
      <rPr>
        <sz val="8"/>
        <color rgb="FF000000"/>
        <rFont val="Arial"/>
        <family val="2"/>
      </rPr>
      <t xml:space="preserve"> (</t>
    </r>
    <r>
      <rPr>
        <sz val="8"/>
        <color rgb="FF000000"/>
        <rFont val="Arial"/>
        <family val="2"/>
      </rPr>
      <t>2023</t>
    </r>
    <r>
      <rPr>
        <sz val="8"/>
        <color rgb="FF000000"/>
        <rFont val="Arial"/>
        <family val="2"/>
      </rPr>
      <t xml:space="preserve">: </t>
    </r>
    <r>
      <rPr>
        <sz val="8"/>
        <color rgb="FF000000"/>
        <rFont val="Arial"/>
        <family val="2"/>
      </rPr>
      <t>393,421,721</t>
    </r>
    <r>
      <rPr>
        <sz val="8"/>
        <color rgb="FF000000"/>
        <rFont val="Arial"/>
        <family val="2"/>
      </rPr>
      <t>)</t>
    </r>
  </si>
  <si>
    <t>700,000,000 shares authorized at December 31, 2024 (2023: 700,000,000)</t>
  </si>
  <si>
    <t xml:space="preserve">Ordinary shares; €0.09 nominal value; </t>
  </si>
  <si>
    <t>Total liabilities</t>
  </si>
  <si>
    <t>Total non-current liabilities</t>
  </si>
  <si>
    <t>Accrued and other liabilities</t>
  </si>
  <si>
    <t>Contract liabilities</t>
  </si>
  <si>
    <t>Deferred and other income tax liabilities</t>
  </si>
  <si>
    <t>Long-term debt</t>
  </si>
  <si>
    <t>Total current liabilities</t>
  </si>
  <si>
    <t>Current portion of long-term debt</t>
  </si>
  <si>
    <t>Current tax liabilities</t>
  </si>
  <si>
    <t>Accounts payable</t>
  </si>
  <si>
    <t>Liabilities and shareholders’ equity</t>
  </si>
  <si>
    <t>Total assets</t>
  </si>
  <si>
    <t>Total non-current assets</t>
  </si>
  <si>
    <t>Right-of-use assets</t>
  </si>
  <si>
    <t>Property, plant and equipment, net</t>
  </si>
  <si>
    <t>Other intangible assets, net</t>
  </si>
  <si>
    <t>Goodwill</t>
  </si>
  <si>
    <t>Equity method investments</t>
  </si>
  <si>
    <t>Other assets</t>
  </si>
  <si>
    <t>Loans receivable</t>
  </si>
  <si>
    <t>Deferred tax assets</t>
  </si>
  <si>
    <t>Finance receivables, net</t>
  </si>
  <si>
    <t>Total current assets</t>
  </si>
  <si>
    <t>Inventories, net</t>
  </si>
  <si>
    <t>Contract assets</t>
  </si>
  <si>
    <t>Current tax assets</t>
  </si>
  <si>
    <r>
      <rPr>
        <sz val="8"/>
        <color rgb="FF000000"/>
        <rFont val="Arial"/>
        <family val="2"/>
      </rPr>
      <t>Accounts receivable, net</t>
    </r>
    <r>
      <rPr>
        <vertAlign val="superscript"/>
        <sz val="8"/>
        <color rgb="FF000000"/>
        <rFont val="Arial"/>
        <family val="2"/>
      </rPr>
      <t>1</t>
    </r>
  </si>
  <si>
    <t>Short-term investments</t>
  </si>
  <si>
    <t>Cash and cash equivalents</t>
  </si>
  <si>
    <t>Assets</t>
  </si>
  <si>
    <t>As of December 31 (€, in millions, except share and per share data)</t>
  </si>
  <si>
    <t>Consolidated Balance Sheets for the years ended December 31, 2023 and 2024</t>
  </si>
  <si>
    <t>Balance at December 31, 2024</t>
  </si>
  <si>
    <t>Dividend paid</t>
  </si>
  <si>
    <t>Issuance of shares</t>
  </si>
  <si>
    <t>Share-based payments</t>
  </si>
  <si>
    <t>Cancellation of treasury shares</t>
  </si>
  <si>
    <t>Purchase of treasury shares</t>
  </si>
  <si>
    <t>Total comprehensive income</t>
  </si>
  <si>
    <t xml:space="preserve">Gain (loss) on financial instruments </t>
  </si>
  <si>
    <t>Components of comprehensive income:</t>
  </si>
  <si>
    <t>Balance at December 31, 2023</t>
  </si>
  <si>
    <t>Balance at December 31, 2022</t>
  </si>
  <si>
    <t>Balance at January 1, 2022</t>
  </si>
  <si>
    <t>Total</t>
  </si>
  <si>
    <t>OCI</t>
  </si>
  <si>
    <t>Amount</t>
  </si>
  <si>
    <t>Number</t>
  </si>
  <si>
    <t>(€, in millions)</t>
  </si>
  <si>
    <t>Consolidated Statements of Shareholders' Equity for the years ended December 31, 2022, 2023 and 2024</t>
  </si>
  <si>
    <t>Income taxes paid, net of refunds</t>
  </si>
  <si>
    <t>Interest paid</t>
  </si>
  <si>
    <t>Interest received</t>
  </si>
  <si>
    <t>Unpaid portion of property, plant and equipment, excluded in investing activities, included in accounts payable</t>
  </si>
  <si>
    <t>Supplemental disclosures of cash flow information</t>
  </si>
  <si>
    <t>Cash and cash equivalents at end of the year</t>
  </si>
  <si>
    <t>Cash and cash equivalents at beginning of the year</t>
  </si>
  <si>
    <t>Net increase (decrease) in cash and cash equivalents</t>
  </si>
  <si>
    <t>Effect of changes in exchange rates on cash</t>
  </si>
  <si>
    <t>Net cash flows</t>
  </si>
  <si>
    <t>Net cash used in financing activities</t>
  </si>
  <si>
    <t>Repayment of debt and finance lease obligations</t>
  </si>
  <si>
    <t>Net proceeds from issuance of notes, net of issuance costs</t>
  </si>
  <si>
    <t>Net proceeds from issuance of shares</t>
  </si>
  <si>
    <t>Cash flows from financing activities</t>
  </si>
  <si>
    <t>Net cash used in investing activities</t>
  </si>
  <si>
    <t>Acquisition of subsidiaries (net of cash acquired)</t>
  </si>
  <si>
    <t>Proceeds from sale of subsidiaries (net of cash disposed of)</t>
  </si>
  <si>
    <r>
      <rPr>
        <sz val="8"/>
        <color rgb="FF000000"/>
        <rFont val="Arial"/>
        <family val="2"/>
      </rPr>
      <t>Loans issued and other investments</t>
    </r>
    <r>
      <rPr>
        <vertAlign val="superscript"/>
        <sz val="8"/>
        <color rgb="FF000000"/>
        <rFont val="Arial"/>
        <family val="2"/>
      </rPr>
      <t>4</t>
    </r>
  </si>
  <si>
    <t>Maturity of short-term investments</t>
  </si>
  <si>
    <t xml:space="preserve">Purchase of short-term investments </t>
  </si>
  <si>
    <t>Purchase of intangible assets</t>
  </si>
  <si>
    <t>Purchase of property, plant and equipment</t>
  </si>
  <si>
    <t>Cash flows from investing activities</t>
  </si>
  <si>
    <t>Net cash provided by operating activities</t>
  </si>
  <si>
    <t>Contract assets and liabilities</t>
  </si>
  <si>
    <t>Current tax assets and liabilities</t>
  </si>
  <si>
    <t xml:space="preserve">Inventories </t>
  </si>
  <si>
    <t>Accounts receivable, net</t>
  </si>
  <si>
    <t>Changes in assets and liabilities:</t>
  </si>
  <si>
    <t>Deferred tax expense (benefit)</t>
  </si>
  <si>
    <t>Inventory reserves</t>
  </si>
  <si>
    <t>Gain on sale of subsidiaries</t>
  </si>
  <si>
    <t>Share-based compensation expense</t>
  </si>
  <si>
    <t>Impairment and loss on disposal</t>
  </si>
  <si>
    <t>Depreciation and amortization</t>
  </si>
  <si>
    <t>Adjustments to reconcile net income to net cash flows from operating activities:</t>
  </si>
  <si>
    <t>Cash flows from operating activities</t>
  </si>
  <si>
    <t>Consolidated Statements of Cash Flows for the years ended December 31, 2022, 2023 and 2024</t>
  </si>
  <si>
    <t>BALANCE SHEET</t>
  </si>
  <si>
    <t>Cash</t>
  </si>
  <si>
    <t>Accounts receivable</t>
  </si>
  <si>
    <t>Inventory</t>
  </si>
  <si>
    <t>Finance receivables</t>
  </si>
  <si>
    <t>Equity investments</t>
  </si>
  <si>
    <t>Other intangible assets</t>
  </si>
  <si>
    <t>Property, plant &amp; equipment</t>
  </si>
  <si>
    <t>Current Assets</t>
  </si>
  <si>
    <t>Liabilities &amp; Equity</t>
  </si>
  <si>
    <t>Accrued &amp; other liabilities</t>
  </si>
  <si>
    <t>Short-term borrowings &amp; current portion of long-term debt</t>
  </si>
  <si>
    <t>Current Liabilities</t>
  </si>
  <si>
    <t>Deferred &amp; other income tax liabilities</t>
  </si>
  <si>
    <t>Total Liabilities</t>
  </si>
  <si>
    <t>Equity</t>
  </si>
  <si>
    <t>Common stock</t>
  </si>
  <si>
    <t>APIC - CS</t>
  </si>
  <si>
    <t>AOCI</t>
  </si>
  <si>
    <t>Total Equity</t>
  </si>
  <si>
    <t>Total Liabilities &amp; Equity</t>
  </si>
  <si>
    <t>Balance check</t>
  </si>
  <si>
    <t>Schedules</t>
  </si>
  <si>
    <t>Accounts receivable - gross</t>
  </si>
  <si>
    <t>Allowance for credit loss</t>
  </si>
  <si>
    <t>Accounts receivable - net</t>
  </si>
  <si>
    <t>Finance Receivable Schedule</t>
  </si>
  <si>
    <t>Accounts Receivable Schedule</t>
  </si>
  <si>
    <t>Finance receivable - gross</t>
  </si>
  <si>
    <t>Unearned interest</t>
  </si>
  <si>
    <t>Finance receivables - net</t>
  </si>
  <si>
    <t>Current portion of finance receivables - gross</t>
  </si>
  <si>
    <t>Current portion of unearned interest</t>
  </si>
  <si>
    <t>Non-current portion of finance receivables - net</t>
  </si>
  <si>
    <t>Non-Current Liabilities</t>
  </si>
  <si>
    <t>Non-Current Assets</t>
  </si>
  <si>
    <t>Inventory Schedule</t>
  </si>
  <si>
    <t>Raw materials</t>
  </si>
  <si>
    <t>Work-in-process</t>
  </si>
  <si>
    <t>Finished products</t>
  </si>
  <si>
    <t>Inventory - gross</t>
  </si>
  <si>
    <t>Inventory - net</t>
  </si>
  <si>
    <t>Inventory Reserve Schedule</t>
  </si>
  <si>
    <t>Beginning balance</t>
  </si>
  <si>
    <t>Additions</t>
  </si>
  <si>
    <t>Effect of changes in exchange rates</t>
  </si>
  <si>
    <t>Utilization of the reserve</t>
  </si>
  <si>
    <t>Ending Balance</t>
  </si>
  <si>
    <t>Net Inventory Schedule</t>
  </si>
  <si>
    <t>Advance payments to Carl Zeiss SMT GmbH</t>
  </si>
  <si>
    <t>Prepaid expenses</t>
  </si>
  <si>
    <t>Derivative financial instruments</t>
  </si>
  <si>
    <t>VAT receivable</t>
  </si>
  <si>
    <t>Other current assets</t>
  </si>
  <si>
    <t>Other current &amp; non-current assets schedule</t>
  </si>
  <si>
    <t>Compensation plan assets</t>
  </si>
  <si>
    <t>Other non-current assets</t>
  </si>
  <si>
    <t>Equity Method investment schedule</t>
  </si>
  <si>
    <t>Disposals</t>
  </si>
  <si>
    <t>Other changes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</si>
</sst>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164" formatCode="_([$€-2]\ * #,##0.00_);_([$€-2]\ * \(#,##0.00\);_([$€-2]\ * &quot;-&quot;??_);_(@_)"/>
    <numFmt numFmtId="165" formatCode="* #,##0.0;* \(#,##0.0\);* &quot;—&quot;;_(@_)"/>
    <numFmt numFmtId="166" formatCode="* #,##0.00;* \(#,##0.00\);* &quot;—&quot;;_(@_)"/>
    <numFmt numFmtId="167" formatCode="#0;\(#0\);&quot;—&quot;;_(@_)"/>
    <numFmt numFmtId="168" formatCode="#0;&quot;-&quot;#0;#0;_(@_)"/>
    <numFmt numFmtId="169" formatCode="_(\ #,##0.00\ _)_);[Red]_(\(\ #,##0.00\ \)_);_(\ &quot; - &quot;\ _)_);_(@\ _)_)"/>
    <numFmt numFmtId="171" formatCode="_(\ #,##0\ _)_);[Red]_(\(\ #,##0\ \)_);_(\ &quot; - &quot;\ _)_);_(@\ _)_)"/>
  </numFmts>
  <fonts count="14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sz val="10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Times New Roman"/>
      <family val="1"/>
    </font>
    <font>
      <sz val="8"/>
      <color rgb="FF000000"/>
      <name val="HelveticaNeueLT W1G 55 Roman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vertAlign val="superscript"/>
      <sz val="8"/>
      <color rgb="FF000000"/>
      <name val="Arial"/>
      <family val="2"/>
    </font>
    <font>
      <b/>
      <sz val="8"/>
      <color rgb="FF0066CC"/>
      <name val="Arial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81">
    <xf numFmtId="0" fontId="0" fillId="0" borderId="0" xfId="0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/>
    <xf numFmtId="0" fontId="2" fillId="2" borderId="2" xfId="0" applyFont="1" applyFill="1" applyBorder="1"/>
    <xf numFmtId="0" fontId="1" fillId="2" borderId="7" xfId="0" applyFont="1" applyFill="1" applyBorder="1"/>
    <xf numFmtId="0" fontId="1" fillId="2" borderId="3" xfId="0" applyFont="1" applyFill="1" applyBorder="1"/>
    <xf numFmtId="0" fontId="2" fillId="2" borderId="1" xfId="0" applyFont="1" applyFill="1" applyBorder="1" applyAlignment="1">
      <alignment horizontal="center"/>
    </xf>
    <xf numFmtId="0" fontId="3" fillId="2" borderId="9" xfId="0" applyFont="1" applyFill="1" applyBorder="1"/>
    <xf numFmtId="0" fontId="3" fillId="2" borderId="10" xfId="0" applyFont="1" applyFill="1" applyBorder="1"/>
    <xf numFmtId="0" fontId="2" fillId="2" borderId="13" xfId="0" applyFont="1" applyFill="1" applyBorder="1"/>
    <xf numFmtId="0" fontId="2" fillId="2" borderId="14" xfId="0" applyFont="1" applyFill="1" applyBorder="1" applyAlignment="1">
      <alignment horizontal="center"/>
    </xf>
    <xf numFmtId="0" fontId="2" fillId="2" borderId="10" xfId="0" applyFont="1" applyFill="1" applyBorder="1"/>
    <xf numFmtId="44" fontId="1" fillId="2" borderId="7" xfId="0" applyNumberFormat="1" applyFont="1" applyFill="1" applyBorder="1"/>
    <xf numFmtId="44" fontId="1" fillId="2" borderId="11" xfId="0" applyNumberFormat="1" applyFont="1" applyFill="1" applyBorder="1"/>
    <xf numFmtId="0" fontId="2" fillId="2" borderId="9" xfId="0" applyFont="1" applyFill="1" applyBorder="1"/>
    <xf numFmtId="44" fontId="1" fillId="2" borderId="2" xfId="0" applyNumberFormat="1" applyFont="1" applyFill="1" applyBorder="1"/>
    <xf numFmtId="44" fontId="1" fillId="2" borderId="5" xfId="0" applyNumberFormat="1" applyFont="1" applyFill="1" applyBorder="1"/>
    <xf numFmtId="0" fontId="2" fillId="2" borderId="12" xfId="0" applyFont="1" applyFill="1" applyBorder="1"/>
    <xf numFmtId="44" fontId="1" fillId="2" borderId="3" xfId="0" applyNumberFormat="1" applyFont="1" applyFill="1" applyBorder="1"/>
    <xf numFmtId="44" fontId="1" fillId="2" borderId="6" xfId="0" applyNumberFormat="1" applyFont="1" applyFill="1" applyBorder="1"/>
    <xf numFmtId="0" fontId="2" fillId="0" borderId="13" xfId="0" applyFont="1" applyBorder="1" applyAlignment="1">
      <alignment horizontal="centerContinuous"/>
    </xf>
    <xf numFmtId="0" fontId="2" fillId="0" borderId="4" xfId="0" applyFont="1" applyBorder="1" applyAlignment="1">
      <alignment horizontal="centerContinuous"/>
    </xf>
    <xf numFmtId="0" fontId="2" fillId="0" borderId="14" xfId="0" applyFont="1" applyBorder="1" applyAlignment="1">
      <alignment horizontal="centerContinuous"/>
    </xf>
    <xf numFmtId="0" fontId="4" fillId="0" borderId="0" xfId="1"/>
    <xf numFmtId="165" fontId="5" fillId="0" borderId="0" xfId="1" applyNumberFormat="1" applyFont="1" applyAlignment="1">
      <alignment wrapText="1"/>
    </xf>
    <xf numFmtId="165" fontId="6" fillId="0" borderId="0" xfId="1" applyNumberFormat="1" applyFont="1" applyAlignment="1">
      <alignment wrapText="1"/>
    </xf>
    <xf numFmtId="0" fontId="6" fillId="0" borderId="0" xfId="1" applyFont="1" applyAlignment="1">
      <alignment horizontal="left" wrapText="1"/>
    </xf>
    <xf numFmtId="166" fontId="5" fillId="0" borderId="0" xfId="1" applyNumberFormat="1" applyFont="1" applyAlignment="1">
      <alignment wrapText="1"/>
    </xf>
    <xf numFmtId="166" fontId="6" fillId="0" borderId="0" xfId="1" applyNumberFormat="1" applyFont="1" applyAlignment="1">
      <alignment wrapText="1"/>
    </xf>
    <xf numFmtId="0" fontId="5" fillId="0" borderId="0" xfId="1" applyFont="1" applyAlignment="1">
      <alignment horizontal="left" wrapText="1"/>
    </xf>
    <xf numFmtId="0" fontId="7" fillId="0" borderId="15" xfId="1" applyFont="1" applyBorder="1" applyAlignment="1">
      <alignment wrapText="1"/>
    </xf>
    <xf numFmtId="0" fontId="7" fillId="0" borderId="15" xfId="1" applyFont="1" applyBorder="1" applyAlignment="1">
      <alignment horizontal="left" wrapText="1"/>
    </xf>
    <xf numFmtId="165" fontId="5" fillId="0" borderId="16" xfId="1" applyNumberFormat="1" applyFont="1" applyBorder="1" applyAlignment="1">
      <alignment wrapText="1"/>
    </xf>
    <xf numFmtId="165" fontId="6" fillId="0" borderId="16" xfId="1" applyNumberFormat="1" applyFont="1" applyBorder="1" applyAlignment="1">
      <alignment wrapText="1"/>
    </xf>
    <xf numFmtId="0" fontId="6" fillId="0" borderId="16" xfId="1" applyFont="1" applyBorder="1" applyAlignment="1">
      <alignment horizontal="left" wrapText="1"/>
    </xf>
    <xf numFmtId="165" fontId="5" fillId="0" borderId="15" xfId="1" applyNumberFormat="1" applyFont="1" applyBorder="1" applyAlignment="1">
      <alignment wrapText="1"/>
    </xf>
    <xf numFmtId="165" fontId="6" fillId="0" borderId="15" xfId="1" applyNumberFormat="1" applyFont="1" applyBorder="1" applyAlignment="1">
      <alignment wrapText="1"/>
    </xf>
    <xf numFmtId="0" fontId="5" fillId="0" borderId="15" xfId="1" applyFont="1" applyBorder="1" applyAlignment="1">
      <alignment horizontal="left" wrapText="1"/>
    </xf>
    <xf numFmtId="0" fontId="6" fillId="0" borderId="15" xfId="1" applyFont="1" applyBorder="1" applyAlignment="1">
      <alignment horizontal="left" wrapText="1"/>
    </xf>
    <xf numFmtId="167" fontId="5" fillId="0" borderId="16" xfId="1" applyNumberFormat="1" applyFont="1" applyBorder="1" applyAlignment="1">
      <alignment horizontal="right" wrapText="1"/>
    </xf>
    <xf numFmtId="0" fontId="5" fillId="0" borderId="16" xfId="1" applyFont="1" applyBorder="1" applyAlignment="1">
      <alignment horizontal="left" wrapText="1"/>
    </xf>
    <xf numFmtId="0" fontId="8" fillId="0" borderId="15" xfId="1" applyFont="1" applyBorder="1" applyAlignment="1">
      <alignment horizontal="left" wrapText="1"/>
    </xf>
    <xf numFmtId="0" fontId="10" fillId="0" borderId="0" xfId="1" applyFont="1" applyAlignment="1">
      <alignment horizontal="left" wrapText="1"/>
    </xf>
    <xf numFmtId="168" fontId="5" fillId="0" borderId="16" xfId="1" applyNumberFormat="1" applyFont="1" applyBorder="1" applyAlignment="1">
      <alignment horizontal="right" wrapText="1"/>
    </xf>
    <xf numFmtId="0" fontId="5" fillId="0" borderId="15" xfId="1" applyFont="1" applyBorder="1" applyAlignment="1">
      <alignment horizontal="right" wrapText="1"/>
    </xf>
    <xf numFmtId="0" fontId="12" fillId="0" borderId="15" xfId="1" applyFont="1" applyBorder="1" applyAlignment="1">
      <alignment horizontal="right" wrapText="1"/>
    </xf>
    <xf numFmtId="0" fontId="5" fillId="0" borderId="16" xfId="1" applyFont="1" applyBorder="1" applyAlignment="1">
      <alignment horizontal="right" wrapText="1"/>
    </xf>
    <xf numFmtId="0" fontId="6" fillId="0" borderId="16" xfId="1" applyFont="1" applyBorder="1" applyAlignment="1">
      <alignment horizontal="left" wrapText="1" indent="4"/>
    </xf>
    <xf numFmtId="0" fontId="6" fillId="0" borderId="0" xfId="1" applyFont="1" applyAlignment="1">
      <alignment horizontal="left" wrapText="1" indent="4"/>
    </xf>
    <xf numFmtId="0" fontId="6" fillId="0" borderId="0" xfId="1" applyFont="1" applyAlignment="1">
      <alignment horizontal="left" wrapText="1" indent="2"/>
    </xf>
    <xf numFmtId="0" fontId="6" fillId="0" borderId="0" xfId="1" applyFont="1" applyAlignment="1">
      <alignment horizontal="left" wrapText="1"/>
    </xf>
    <xf numFmtId="0" fontId="4" fillId="0" borderId="0" xfId="1"/>
    <xf numFmtId="0" fontId="9" fillId="0" borderId="16" xfId="1" applyFont="1" applyBorder="1" applyAlignment="1">
      <alignment horizontal="left" wrapText="1"/>
    </xf>
    <xf numFmtId="0" fontId="5" fillId="0" borderId="0" xfId="1" applyFont="1" applyAlignment="1">
      <alignment horizontal="center" wrapText="1"/>
    </xf>
    <xf numFmtId="171" fontId="1" fillId="2" borderId="2" xfId="0" applyNumberFormat="1" applyFont="1" applyFill="1" applyBorder="1"/>
    <xf numFmtId="171" fontId="1" fillId="2" borderId="1" xfId="0" applyNumberFormat="1" applyFont="1" applyFill="1" applyBorder="1"/>
    <xf numFmtId="171" fontId="1" fillId="2" borderId="8" xfId="0" applyNumberFormat="1" applyFont="1" applyFill="1" applyBorder="1"/>
    <xf numFmtId="171" fontId="1" fillId="2" borderId="4" xfId="0" applyNumberFormat="1" applyFont="1" applyFill="1" applyBorder="1"/>
    <xf numFmtId="171" fontId="1" fillId="2" borderId="14" xfId="0" applyNumberFormat="1" applyFont="1" applyFill="1" applyBorder="1"/>
    <xf numFmtId="0" fontId="0" fillId="0" borderId="0" xfId="0" applyFont="1"/>
    <xf numFmtId="169" fontId="0" fillId="2" borderId="2" xfId="0" applyNumberFormat="1" applyFont="1" applyFill="1" applyBorder="1"/>
    <xf numFmtId="0" fontId="0" fillId="2" borderId="7" xfId="0" applyFont="1" applyFill="1" applyBorder="1"/>
    <xf numFmtId="171" fontId="0" fillId="2" borderId="7" xfId="0" applyNumberFormat="1" applyFont="1" applyFill="1" applyBorder="1"/>
    <xf numFmtId="9" fontId="0" fillId="2" borderId="2" xfId="0" applyNumberFormat="1" applyFont="1" applyFill="1" applyBorder="1" applyAlignment="1">
      <alignment horizontal="center"/>
    </xf>
    <xf numFmtId="9" fontId="0" fillId="2" borderId="5" xfId="0" applyNumberFormat="1" applyFont="1" applyFill="1" applyBorder="1" applyAlignment="1">
      <alignment horizontal="center"/>
    </xf>
    <xf numFmtId="10" fontId="0" fillId="2" borderId="7" xfId="0" applyNumberFormat="1" applyFont="1" applyFill="1" applyBorder="1" applyAlignment="1">
      <alignment horizontal="center"/>
    </xf>
    <xf numFmtId="10" fontId="0" fillId="2" borderId="11" xfId="0" applyNumberFormat="1" applyFont="1" applyFill="1" applyBorder="1" applyAlignment="1">
      <alignment horizontal="center"/>
    </xf>
    <xf numFmtId="3" fontId="0" fillId="2" borderId="7" xfId="0" applyNumberFormat="1" applyFont="1" applyFill="1" applyBorder="1" applyAlignment="1">
      <alignment horizontal="center"/>
    </xf>
    <xf numFmtId="3" fontId="0" fillId="2" borderId="11" xfId="0" applyNumberFormat="1" applyFont="1" applyFill="1" applyBorder="1" applyAlignment="1">
      <alignment horizontal="center"/>
    </xf>
    <xf numFmtId="164" fontId="0" fillId="2" borderId="7" xfId="0" applyNumberFormat="1" applyFont="1" applyFill="1" applyBorder="1"/>
    <xf numFmtId="164" fontId="0" fillId="2" borderId="11" xfId="0" applyNumberFormat="1" applyFont="1" applyFill="1" applyBorder="1"/>
    <xf numFmtId="171" fontId="0" fillId="0" borderId="0" xfId="0" applyNumberFormat="1" applyFont="1"/>
    <xf numFmtId="0" fontId="13" fillId="0" borderId="13" xfId="0" applyFont="1" applyBorder="1"/>
    <xf numFmtId="0" fontId="13" fillId="0" borderId="4" xfId="0" applyFont="1" applyBorder="1" applyAlignment="1">
      <alignment horizontal="center"/>
    </xf>
    <xf numFmtId="0" fontId="13" fillId="0" borderId="14" xfId="0" applyFont="1" applyBorder="1" applyAlignment="1">
      <alignment horizontal="center"/>
    </xf>
    <xf numFmtId="171" fontId="0" fillId="0" borderId="0" xfId="0" applyNumberFormat="1"/>
  </cellXfs>
  <cellStyles count="2">
    <cellStyle name="Normal" xfId="0" builtinId="0"/>
    <cellStyle name="Normal 2" xfId="1" xr:uid="{0EFB39A9-B6C9-4C22-A387-B64626315D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5783-9643-442B-BEA5-ECBA8790FDB2}">
  <dimension ref="B2:IH160"/>
  <sheetViews>
    <sheetView showGridLines="0" tabSelected="1" zoomScale="75" zoomScaleNormal="75" workbookViewId="0">
      <pane xSplit="2" ySplit="3" topLeftCell="C7" activePane="bottomRight" state="frozen"/>
      <selection pane="topRight" activeCell="C1" sqref="C1"/>
      <selection pane="bottomLeft" activeCell="A4" sqref="A4"/>
      <selection pane="bottomRight"/>
    </sheetView>
  </sheetViews>
  <sheetFormatPr defaultColWidth="2.578125" defaultRowHeight="14.4"/>
  <cols>
    <col min="1" max="1" width="2.578125" style="64"/>
    <col min="2" max="2" width="47.62890625" style="64" bestFit="1" customWidth="1"/>
    <col min="3" max="8" width="14.15625" style="64" bestFit="1" customWidth="1"/>
    <col min="9" max="22" width="15.3671875" style="64" bestFit="1" customWidth="1"/>
    <col min="23" max="23" width="14.5234375" style="64" bestFit="1" customWidth="1"/>
    <col min="24" max="26" width="17.15625" style="64" bestFit="1" customWidth="1"/>
    <col min="27" max="48" width="14.15625" style="64" bestFit="1" customWidth="1"/>
    <col min="49" max="242" width="15.3671875" style="64" bestFit="1" customWidth="1"/>
    <col min="243" max="16384" width="2.578125" style="64"/>
  </cols>
  <sheetData>
    <row r="2" spans="2:242">
      <c r="B2" s="3" t="s">
        <v>2</v>
      </c>
      <c r="C2" s="5" t="s">
        <v>1</v>
      </c>
      <c r="D2" s="1" t="s">
        <v>1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1</v>
      </c>
      <c r="L2" s="1" t="s">
        <v>1</v>
      </c>
      <c r="M2" s="1" t="s">
        <v>1</v>
      </c>
      <c r="N2" s="1" t="s">
        <v>1</v>
      </c>
      <c r="O2" s="1" t="s">
        <v>1</v>
      </c>
      <c r="P2" s="1" t="s">
        <v>1</v>
      </c>
      <c r="Q2" s="1" t="s">
        <v>1</v>
      </c>
      <c r="R2" s="1" t="s">
        <v>1</v>
      </c>
      <c r="S2" s="1" t="s">
        <v>1</v>
      </c>
      <c r="T2" s="1" t="s">
        <v>1</v>
      </c>
      <c r="U2" s="1" t="s">
        <v>1</v>
      </c>
      <c r="V2" s="1" t="s">
        <v>1</v>
      </c>
      <c r="W2" s="1" t="s">
        <v>1</v>
      </c>
      <c r="X2" s="1" t="s">
        <v>1</v>
      </c>
      <c r="Y2" s="1" t="s">
        <v>1</v>
      </c>
      <c r="Z2" s="1" t="s">
        <v>1</v>
      </c>
      <c r="AA2" s="1" t="s">
        <v>1</v>
      </c>
      <c r="AB2" s="1" t="s">
        <v>1</v>
      </c>
      <c r="AC2" s="1" t="s">
        <v>1</v>
      </c>
      <c r="AD2" s="1" t="s">
        <v>1</v>
      </c>
      <c r="AE2" s="1" t="s">
        <v>1</v>
      </c>
      <c r="AF2" s="1" t="s">
        <v>1</v>
      </c>
      <c r="AG2" s="1" t="s">
        <v>1</v>
      </c>
      <c r="AH2" s="1" t="s">
        <v>1</v>
      </c>
      <c r="AI2" s="1" t="s">
        <v>1</v>
      </c>
      <c r="AJ2" s="1" t="s">
        <v>1</v>
      </c>
      <c r="AK2" s="1" t="s">
        <v>1</v>
      </c>
      <c r="AL2" s="1" t="s">
        <v>1</v>
      </c>
      <c r="AM2" s="1" t="s">
        <v>1</v>
      </c>
      <c r="AN2" s="1" t="s">
        <v>1</v>
      </c>
      <c r="AO2" s="1" t="s">
        <v>1</v>
      </c>
      <c r="AP2" s="1" t="s">
        <v>1</v>
      </c>
      <c r="AQ2" s="1" t="s">
        <v>1</v>
      </c>
      <c r="AR2" s="1" t="s">
        <v>1</v>
      </c>
      <c r="AS2" s="1" t="s">
        <v>1</v>
      </c>
      <c r="AT2" s="1" t="s">
        <v>1</v>
      </c>
      <c r="AU2" s="1" t="s">
        <v>1</v>
      </c>
      <c r="AV2" s="1" t="s">
        <v>1</v>
      </c>
      <c r="AW2" s="1" t="s">
        <v>1</v>
      </c>
      <c r="AX2" s="1" t="s">
        <v>1</v>
      </c>
      <c r="AY2" s="1" t="s">
        <v>1</v>
      </c>
      <c r="AZ2" s="1" t="s">
        <v>1</v>
      </c>
      <c r="BA2" s="1" t="s">
        <v>1</v>
      </c>
      <c r="BB2" s="1" t="s">
        <v>1</v>
      </c>
      <c r="BC2" s="1" t="s">
        <v>1</v>
      </c>
      <c r="BD2" s="1" t="s">
        <v>1</v>
      </c>
      <c r="BE2" s="1" t="s">
        <v>1</v>
      </c>
      <c r="BF2" s="1" t="s">
        <v>1</v>
      </c>
      <c r="BG2" s="1" t="s">
        <v>1</v>
      </c>
      <c r="BH2" s="1" t="s">
        <v>1</v>
      </c>
      <c r="BI2" s="1" t="s">
        <v>1</v>
      </c>
      <c r="BJ2" s="1" t="s">
        <v>1</v>
      </c>
      <c r="BK2" s="1" t="s">
        <v>1</v>
      </c>
      <c r="BL2" s="1" t="s">
        <v>1</v>
      </c>
      <c r="BM2" s="1" t="s">
        <v>1</v>
      </c>
      <c r="BN2" s="1" t="s">
        <v>1</v>
      </c>
      <c r="BO2" s="1" t="s">
        <v>1</v>
      </c>
      <c r="BP2" s="1" t="s">
        <v>1</v>
      </c>
      <c r="BQ2" s="1" t="s">
        <v>1</v>
      </c>
      <c r="BR2" s="1" t="s">
        <v>1</v>
      </c>
      <c r="BS2" s="1" t="s">
        <v>1</v>
      </c>
      <c r="BT2" s="1" t="s">
        <v>1</v>
      </c>
      <c r="BU2" s="1" t="s">
        <v>1</v>
      </c>
      <c r="BV2" s="1" t="s">
        <v>1</v>
      </c>
      <c r="BW2" s="1" t="s">
        <v>1</v>
      </c>
      <c r="BX2" s="1" t="s">
        <v>1</v>
      </c>
      <c r="BY2" s="1" t="s">
        <v>1</v>
      </c>
      <c r="BZ2" s="1" t="s">
        <v>1</v>
      </c>
      <c r="CA2" s="1" t="s">
        <v>1</v>
      </c>
      <c r="CB2" s="1" t="s">
        <v>1</v>
      </c>
      <c r="CC2" s="1" t="s">
        <v>1</v>
      </c>
      <c r="CD2" s="1" t="s">
        <v>1</v>
      </c>
      <c r="CE2" s="1" t="s">
        <v>1</v>
      </c>
      <c r="CF2" s="1" t="s">
        <v>1</v>
      </c>
      <c r="CG2" s="1" t="s">
        <v>1</v>
      </c>
      <c r="CH2" s="1" t="s">
        <v>1</v>
      </c>
      <c r="CI2" s="1" t="s">
        <v>1</v>
      </c>
      <c r="CJ2" s="1" t="s">
        <v>1</v>
      </c>
      <c r="CK2" s="1" t="s">
        <v>1</v>
      </c>
      <c r="CL2" s="1" t="s">
        <v>1</v>
      </c>
      <c r="CM2" s="1" t="s">
        <v>1</v>
      </c>
      <c r="CN2" s="1" t="s">
        <v>1</v>
      </c>
      <c r="CO2" s="1" t="s">
        <v>1</v>
      </c>
      <c r="CP2" s="1" t="s">
        <v>1</v>
      </c>
      <c r="CQ2" s="1" t="s">
        <v>1</v>
      </c>
      <c r="CR2" s="1" t="s">
        <v>1</v>
      </c>
      <c r="CS2" s="1" t="s">
        <v>1</v>
      </c>
      <c r="CT2" s="1" t="s">
        <v>1</v>
      </c>
      <c r="CU2" s="1" t="s">
        <v>1</v>
      </c>
      <c r="CV2" s="1" t="s">
        <v>1</v>
      </c>
      <c r="CW2" s="1" t="s">
        <v>1</v>
      </c>
      <c r="CX2" s="1" t="s">
        <v>1</v>
      </c>
      <c r="CY2" s="1" t="s">
        <v>1</v>
      </c>
      <c r="CZ2" s="1" t="s">
        <v>1</v>
      </c>
      <c r="DA2" s="1" t="s">
        <v>1</v>
      </c>
      <c r="DB2" s="1" t="s">
        <v>1</v>
      </c>
      <c r="DC2" s="1" t="s">
        <v>1</v>
      </c>
      <c r="DD2" s="1" t="s">
        <v>1</v>
      </c>
      <c r="DE2" s="1" t="s">
        <v>1</v>
      </c>
      <c r="DF2" s="1" t="s">
        <v>1</v>
      </c>
      <c r="DG2" s="1" t="s">
        <v>1</v>
      </c>
      <c r="DH2" s="1" t="s">
        <v>1</v>
      </c>
      <c r="DI2" s="1" t="s">
        <v>1</v>
      </c>
      <c r="DJ2" s="1" t="s">
        <v>1</v>
      </c>
      <c r="DK2" s="1" t="s">
        <v>1</v>
      </c>
      <c r="DL2" s="1" t="s">
        <v>1</v>
      </c>
      <c r="DM2" s="1" t="s">
        <v>1</v>
      </c>
      <c r="DN2" s="1" t="s">
        <v>1</v>
      </c>
      <c r="DO2" s="1" t="s">
        <v>1</v>
      </c>
      <c r="DP2" s="1" t="s">
        <v>1</v>
      </c>
      <c r="DQ2" s="1" t="s">
        <v>1</v>
      </c>
      <c r="DR2" s="1" t="s">
        <v>1</v>
      </c>
      <c r="DS2" s="1" t="s">
        <v>1</v>
      </c>
      <c r="DT2" s="1" t="s">
        <v>1</v>
      </c>
      <c r="DU2" s="1" t="s">
        <v>1</v>
      </c>
      <c r="DV2" s="1" t="s">
        <v>1</v>
      </c>
      <c r="DW2" s="1" t="s">
        <v>1</v>
      </c>
      <c r="DX2" s="1" t="s">
        <v>1</v>
      </c>
      <c r="DY2" s="1" t="s">
        <v>1</v>
      </c>
      <c r="DZ2" s="1" t="s">
        <v>1</v>
      </c>
      <c r="EA2" s="1" t="s">
        <v>1</v>
      </c>
      <c r="EB2" s="1" t="s">
        <v>1</v>
      </c>
      <c r="EC2" s="1" t="s">
        <v>1</v>
      </c>
      <c r="ED2" s="1" t="s">
        <v>1</v>
      </c>
      <c r="EE2" s="1" t="s">
        <v>1</v>
      </c>
      <c r="EF2" s="1" t="s">
        <v>1</v>
      </c>
      <c r="EG2" s="1" t="s">
        <v>1</v>
      </c>
      <c r="EH2" s="1" t="s">
        <v>1</v>
      </c>
      <c r="EI2" s="1" t="s">
        <v>1</v>
      </c>
      <c r="EJ2" s="1" t="s">
        <v>1</v>
      </c>
      <c r="EK2" s="1" t="s">
        <v>1</v>
      </c>
      <c r="EL2" s="1" t="s">
        <v>1</v>
      </c>
      <c r="EM2" s="1" t="s">
        <v>1</v>
      </c>
      <c r="EN2" s="1" t="s">
        <v>1</v>
      </c>
      <c r="EO2" s="1" t="s">
        <v>1</v>
      </c>
      <c r="EP2" s="1" t="s">
        <v>1</v>
      </c>
      <c r="EQ2" s="1" t="s">
        <v>1</v>
      </c>
      <c r="ER2" s="1" t="s">
        <v>1</v>
      </c>
      <c r="ES2" s="1" t="s">
        <v>1</v>
      </c>
      <c r="ET2" s="1" t="s">
        <v>1</v>
      </c>
      <c r="EU2" s="1" t="s">
        <v>1</v>
      </c>
      <c r="EV2" s="1" t="s">
        <v>1</v>
      </c>
      <c r="EW2" s="1" t="s">
        <v>1</v>
      </c>
      <c r="EX2" s="1" t="s">
        <v>1</v>
      </c>
      <c r="EY2" s="1" t="s">
        <v>1</v>
      </c>
      <c r="EZ2" s="1" t="s">
        <v>1</v>
      </c>
      <c r="FA2" s="1" t="s">
        <v>1</v>
      </c>
      <c r="FB2" s="1" t="s">
        <v>1</v>
      </c>
      <c r="FC2" s="1" t="s">
        <v>1</v>
      </c>
      <c r="FD2" s="1" t="s">
        <v>1</v>
      </c>
      <c r="FE2" s="1" t="s">
        <v>1</v>
      </c>
      <c r="FF2" s="1" t="s">
        <v>1</v>
      </c>
      <c r="FG2" s="1" t="s">
        <v>1</v>
      </c>
      <c r="FH2" s="1" t="s">
        <v>1</v>
      </c>
      <c r="FI2" s="1" t="s">
        <v>1</v>
      </c>
      <c r="FJ2" s="1" t="s">
        <v>1</v>
      </c>
      <c r="FK2" s="1" t="s">
        <v>1</v>
      </c>
      <c r="FL2" s="1" t="s">
        <v>1</v>
      </c>
      <c r="FM2" s="1" t="s">
        <v>1</v>
      </c>
      <c r="FN2" s="1" t="s">
        <v>1</v>
      </c>
      <c r="FO2" s="1" t="s">
        <v>1</v>
      </c>
      <c r="FP2" s="1" t="s">
        <v>1</v>
      </c>
      <c r="FQ2" s="1" t="s">
        <v>1</v>
      </c>
      <c r="FR2" s="1" t="s">
        <v>1</v>
      </c>
      <c r="FS2" s="1" t="s">
        <v>1</v>
      </c>
      <c r="FT2" s="1" t="s">
        <v>1</v>
      </c>
      <c r="FU2" s="1" t="s">
        <v>1</v>
      </c>
      <c r="FV2" s="1" t="s">
        <v>1</v>
      </c>
      <c r="FW2" s="1" t="s">
        <v>1</v>
      </c>
      <c r="FX2" s="1" t="s">
        <v>1</v>
      </c>
      <c r="FY2" s="1" t="s">
        <v>1</v>
      </c>
      <c r="FZ2" s="1" t="s">
        <v>1</v>
      </c>
      <c r="GA2" s="1" t="s">
        <v>1</v>
      </c>
      <c r="GB2" s="1" t="s">
        <v>1</v>
      </c>
      <c r="GC2" s="1" t="s">
        <v>1</v>
      </c>
      <c r="GD2" s="1" t="s">
        <v>1</v>
      </c>
      <c r="GE2" s="1" t="s">
        <v>1</v>
      </c>
      <c r="GF2" s="1" t="s">
        <v>1</v>
      </c>
      <c r="GG2" s="1" t="s">
        <v>1</v>
      </c>
      <c r="GH2" s="1" t="s">
        <v>1</v>
      </c>
      <c r="GI2" s="1" t="s">
        <v>1</v>
      </c>
      <c r="GJ2" s="1" t="s">
        <v>1</v>
      </c>
      <c r="GK2" s="1" t="s">
        <v>1</v>
      </c>
      <c r="GL2" s="1" t="s">
        <v>1</v>
      </c>
      <c r="GM2" s="1" t="s">
        <v>1</v>
      </c>
      <c r="GN2" s="1" t="s">
        <v>1</v>
      </c>
      <c r="GO2" s="1" t="s">
        <v>1</v>
      </c>
      <c r="GP2" s="1" t="s">
        <v>1</v>
      </c>
      <c r="GQ2" s="1" t="s">
        <v>1</v>
      </c>
      <c r="GR2" s="1" t="s">
        <v>1</v>
      </c>
      <c r="GS2" s="1" t="s">
        <v>1</v>
      </c>
      <c r="GT2" s="1" t="s">
        <v>1</v>
      </c>
      <c r="GU2" s="1" t="s">
        <v>1</v>
      </c>
      <c r="GV2" s="1" t="s">
        <v>1</v>
      </c>
      <c r="GW2" s="1" t="s">
        <v>1</v>
      </c>
      <c r="GX2" s="1" t="s">
        <v>1</v>
      </c>
      <c r="GY2" s="1" t="s">
        <v>1</v>
      </c>
      <c r="GZ2" s="1" t="s">
        <v>1</v>
      </c>
      <c r="HA2" s="1" t="s">
        <v>1</v>
      </c>
      <c r="HB2" s="1" t="s">
        <v>1</v>
      </c>
      <c r="HC2" s="1" t="s">
        <v>1</v>
      </c>
      <c r="HD2" s="1" t="s">
        <v>1</v>
      </c>
      <c r="HE2" s="1" t="s">
        <v>1</v>
      </c>
      <c r="HF2" s="1" t="s">
        <v>1</v>
      </c>
      <c r="HG2" s="1" t="s">
        <v>1</v>
      </c>
      <c r="HH2" s="1" t="s">
        <v>1</v>
      </c>
      <c r="HI2" s="1" t="s">
        <v>1</v>
      </c>
      <c r="HJ2" s="1" t="s">
        <v>1</v>
      </c>
      <c r="HK2" s="1" t="s">
        <v>1</v>
      </c>
      <c r="HL2" s="1" t="s">
        <v>1</v>
      </c>
      <c r="HM2" s="1" t="s">
        <v>1</v>
      </c>
      <c r="HN2" s="1" t="s">
        <v>1</v>
      </c>
      <c r="HO2" s="1" t="s">
        <v>1</v>
      </c>
      <c r="HP2" s="1" t="s">
        <v>1</v>
      </c>
      <c r="HQ2" s="1" t="s">
        <v>1</v>
      </c>
      <c r="HR2" s="1" t="s">
        <v>1</v>
      </c>
      <c r="HS2" s="1" t="s">
        <v>1</v>
      </c>
      <c r="HT2" s="1" t="s">
        <v>1</v>
      </c>
      <c r="HU2" s="1" t="s">
        <v>1</v>
      </c>
      <c r="HV2" s="1" t="s">
        <v>1</v>
      </c>
      <c r="HW2" s="1" t="s">
        <v>1</v>
      </c>
      <c r="HX2" s="1" t="s">
        <v>1</v>
      </c>
      <c r="HY2" s="1" t="s">
        <v>1</v>
      </c>
      <c r="HZ2" s="1" t="s">
        <v>1</v>
      </c>
      <c r="IA2" s="1" t="s">
        <v>1</v>
      </c>
      <c r="IB2" s="1" t="s">
        <v>1</v>
      </c>
      <c r="IC2" s="1" t="s">
        <v>1</v>
      </c>
      <c r="ID2" s="1" t="s">
        <v>1</v>
      </c>
      <c r="IE2" s="1" t="s">
        <v>1</v>
      </c>
      <c r="IF2" s="1" t="s">
        <v>1</v>
      </c>
      <c r="IG2" s="1" t="s">
        <v>1</v>
      </c>
      <c r="IH2" s="1" t="s">
        <v>1</v>
      </c>
    </row>
    <row r="3" spans="2:242">
      <c r="B3" s="4" t="s">
        <v>3</v>
      </c>
      <c r="C3" s="6">
        <v>2016</v>
      </c>
      <c r="D3" s="2">
        <v>2017</v>
      </c>
      <c r="E3" s="2">
        <v>2018</v>
      </c>
      <c r="F3" s="2">
        <v>2019</v>
      </c>
      <c r="G3" s="2">
        <v>2020</v>
      </c>
      <c r="H3" s="2">
        <v>2021</v>
      </c>
      <c r="I3" s="2">
        <v>2022</v>
      </c>
      <c r="J3" s="2">
        <v>2023</v>
      </c>
      <c r="K3" s="2">
        <v>2024</v>
      </c>
      <c r="L3" s="2">
        <v>2025</v>
      </c>
      <c r="M3" s="2">
        <v>2026</v>
      </c>
      <c r="N3" s="2">
        <v>2027</v>
      </c>
      <c r="O3" s="2">
        <v>2028</v>
      </c>
      <c r="P3" s="2">
        <v>2029</v>
      </c>
      <c r="Q3" s="2">
        <v>2030</v>
      </c>
      <c r="R3" s="2">
        <v>2030</v>
      </c>
      <c r="S3" s="2">
        <v>2030</v>
      </c>
      <c r="T3" s="2">
        <v>2030</v>
      </c>
      <c r="U3" s="2">
        <v>2030</v>
      </c>
      <c r="V3" s="2">
        <v>2030</v>
      </c>
      <c r="W3" s="2">
        <v>2036</v>
      </c>
      <c r="X3" s="2">
        <v>2037</v>
      </c>
      <c r="Y3" s="2">
        <v>2038</v>
      </c>
      <c r="Z3" s="2">
        <v>2039</v>
      </c>
      <c r="AA3" s="2">
        <v>2040</v>
      </c>
      <c r="AB3" s="2">
        <v>2041</v>
      </c>
      <c r="AC3" s="2">
        <v>2042</v>
      </c>
      <c r="AD3" s="2">
        <v>2043</v>
      </c>
      <c r="AE3" s="2">
        <v>2044</v>
      </c>
      <c r="AF3" s="2">
        <v>2045</v>
      </c>
      <c r="AG3" s="2">
        <v>2046</v>
      </c>
      <c r="AH3" s="2">
        <v>2047</v>
      </c>
      <c r="AI3" s="2">
        <v>2048</v>
      </c>
      <c r="AJ3" s="2">
        <v>2049</v>
      </c>
      <c r="AK3" s="2">
        <v>2050</v>
      </c>
      <c r="AL3" s="2">
        <v>2051</v>
      </c>
      <c r="AM3" s="2">
        <v>2052</v>
      </c>
      <c r="AN3" s="2">
        <v>2053</v>
      </c>
      <c r="AO3" s="2">
        <v>2054</v>
      </c>
      <c r="AP3" s="2">
        <v>2055</v>
      </c>
      <c r="AQ3" s="2">
        <v>2056</v>
      </c>
      <c r="AR3" s="2">
        <v>2057</v>
      </c>
      <c r="AS3" s="2">
        <v>2058</v>
      </c>
      <c r="AT3" s="2">
        <v>2059</v>
      </c>
      <c r="AU3" s="2">
        <v>2060</v>
      </c>
      <c r="AV3" s="2">
        <v>2061</v>
      </c>
      <c r="AW3" s="2">
        <v>2062</v>
      </c>
      <c r="AX3" s="2">
        <v>2063</v>
      </c>
      <c r="AY3" s="2">
        <v>2064</v>
      </c>
      <c r="AZ3" s="2">
        <v>2065</v>
      </c>
      <c r="BA3" s="2">
        <v>2066</v>
      </c>
      <c r="BB3" s="2">
        <v>2067</v>
      </c>
      <c r="BC3" s="2">
        <v>2068</v>
      </c>
      <c r="BD3" s="2">
        <v>2069</v>
      </c>
      <c r="BE3" s="2">
        <v>2070</v>
      </c>
      <c r="BF3" s="2">
        <v>2071</v>
      </c>
      <c r="BG3" s="2">
        <v>2072</v>
      </c>
      <c r="BH3" s="2">
        <v>2073</v>
      </c>
      <c r="BI3" s="2">
        <v>2074</v>
      </c>
      <c r="BJ3" s="2">
        <v>2075</v>
      </c>
      <c r="BK3" s="2">
        <v>2076</v>
      </c>
      <c r="BL3" s="2">
        <v>2077</v>
      </c>
      <c r="BM3" s="2">
        <v>2078</v>
      </c>
      <c r="BN3" s="2">
        <v>2079</v>
      </c>
      <c r="BO3" s="2">
        <v>2080</v>
      </c>
      <c r="BP3" s="2">
        <v>2081</v>
      </c>
      <c r="BQ3" s="2">
        <v>2082</v>
      </c>
      <c r="BR3" s="2">
        <v>2083</v>
      </c>
      <c r="BS3" s="2">
        <v>2084</v>
      </c>
      <c r="BT3" s="2">
        <v>2085</v>
      </c>
      <c r="BU3" s="2">
        <v>2086</v>
      </c>
      <c r="BV3" s="2">
        <v>2087</v>
      </c>
      <c r="BW3" s="2">
        <v>2088</v>
      </c>
      <c r="BX3" s="2">
        <v>2089</v>
      </c>
      <c r="BY3" s="2">
        <v>2090</v>
      </c>
      <c r="BZ3" s="2">
        <v>2091</v>
      </c>
      <c r="CA3" s="2">
        <v>2092</v>
      </c>
      <c r="CB3" s="2">
        <v>2093</v>
      </c>
      <c r="CC3" s="2">
        <v>2094</v>
      </c>
      <c r="CD3" s="2">
        <v>2095</v>
      </c>
      <c r="CE3" s="2">
        <v>2096</v>
      </c>
      <c r="CF3" s="2">
        <v>2097</v>
      </c>
      <c r="CG3" s="2">
        <v>2098</v>
      </c>
      <c r="CH3" s="2">
        <v>2099</v>
      </c>
      <c r="CI3" s="2">
        <v>2100</v>
      </c>
      <c r="CJ3" s="2">
        <v>2101</v>
      </c>
      <c r="CK3" s="2">
        <v>2102</v>
      </c>
      <c r="CL3" s="2">
        <v>2103</v>
      </c>
      <c r="CM3" s="2">
        <v>2104</v>
      </c>
      <c r="CN3" s="2">
        <v>2105</v>
      </c>
      <c r="CO3" s="2">
        <v>2106</v>
      </c>
      <c r="CP3" s="2">
        <v>2107</v>
      </c>
      <c r="CQ3" s="2">
        <v>2108</v>
      </c>
      <c r="CR3" s="2">
        <v>2109</v>
      </c>
      <c r="CS3" s="2">
        <v>2110</v>
      </c>
      <c r="CT3" s="2">
        <v>2111</v>
      </c>
      <c r="CU3" s="2">
        <v>2112</v>
      </c>
      <c r="CV3" s="2">
        <v>2113</v>
      </c>
      <c r="CW3" s="2">
        <v>2114</v>
      </c>
      <c r="CX3" s="2">
        <v>2115</v>
      </c>
      <c r="CY3" s="2">
        <v>2116</v>
      </c>
      <c r="CZ3" s="2">
        <v>2117</v>
      </c>
      <c r="DA3" s="2">
        <v>2118</v>
      </c>
      <c r="DB3" s="2">
        <v>2119</v>
      </c>
      <c r="DC3" s="2">
        <v>2120</v>
      </c>
      <c r="DD3" s="2">
        <v>2121</v>
      </c>
      <c r="DE3" s="2">
        <v>2122</v>
      </c>
      <c r="DF3" s="2">
        <v>2123</v>
      </c>
      <c r="DG3" s="2">
        <v>2124</v>
      </c>
      <c r="DH3" s="2">
        <v>2125</v>
      </c>
      <c r="DI3" s="2">
        <v>2126</v>
      </c>
      <c r="DJ3" s="2">
        <v>2127</v>
      </c>
      <c r="DK3" s="2">
        <v>2128</v>
      </c>
      <c r="DL3" s="2">
        <v>2129</v>
      </c>
      <c r="DM3" s="2">
        <v>2130</v>
      </c>
      <c r="DN3" s="2">
        <v>2131</v>
      </c>
      <c r="DO3" s="2">
        <v>2132</v>
      </c>
      <c r="DP3" s="2">
        <v>2133</v>
      </c>
      <c r="DQ3" s="2">
        <v>2134</v>
      </c>
      <c r="DR3" s="2">
        <v>2135</v>
      </c>
      <c r="DS3" s="2">
        <v>2136</v>
      </c>
      <c r="DT3" s="2">
        <v>2137</v>
      </c>
      <c r="DU3" s="2">
        <v>2138</v>
      </c>
      <c r="DV3" s="2">
        <v>2139</v>
      </c>
      <c r="DW3" s="2">
        <v>2140</v>
      </c>
      <c r="DX3" s="2">
        <v>2141</v>
      </c>
      <c r="DY3" s="2">
        <v>2142</v>
      </c>
      <c r="DZ3" s="2">
        <v>2143</v>
      </c>
      <c r="EA3" s="2">
        <v>2144</v>
      </c>
      <c r="EB3" s="2">
        <v>2145</v>
      </c>
      <c r="EC3" s="2">
        <v>2146</v>
      </c>
      <c r="ED3" s="2">
        <v>2147</v>
      </c>
      <c r="EE3" s="2">
        <v>2148</v>
      </c>
      <c r="EF3" s="2">
        <v>2149</v>
      </c>
      <c r="EG3" s="2">
        <v>2150</v>
      </c>
      <c r="EH3" s="2">
        <v>2151</v>
      </c>
      <c r="EI3" s="2">
        <v>2152</v>
      </c>
      <c r="EJ3" s="2">
        <v>2153</v>
      </c>
      <c r="EK3" s="2">
        <v>2154</v>
      </c>
      <c r="EL3" s="2">
        <v>2155</v>
      </c>
      <c r="EM3" s="2">
        <v>2156</v>
      </c>
      <c r="EN3" s="2">
        <v>2157</v>
      </c>
      <c r="EO3" s="2">
        <v>2158</v>
      </c>
      <c r="EP3" s="2">
        <v>2159</v>
      </c>
      <c r="EQ3" s="2">
        <v>2160</v>
      </c>
      <c r="ER3" s="2">
        <v>2161</v>
      </c>
      <c r="ES3" s="2">
        <v>2162</v>
      </c>
      <c r="ET3" s="2">
        <v>2163</v>
      </c>
      <c r="EU3" s="2">
        <v>2164</v>
      </c>
      <c r="EV3" s="2">
        <v>2165</v>
      </c>
      <c r="EW3" s="2">
        <v>2166</v>
      </c>
      <c r="EX3" s="2">
        <v>2167</v>
      </c>
      <c r="EY3" s="2">
        <v>2168</v>
      </c>
      <c r="EZ3" s="2">
        <v>2169</v>
      </c>
      <c r="FA3" s="2">
        <v>2170</v>
      </c>
      <c r="FB3" s="2">
        <v>2171</v>
      </c>
      <c r="FC3" s="2">
        <v>2172</v>
      </c>
      <c r="FD3" s="2">
        <v>2173</v>
      </c>
      <c r="FE3" s="2">
        <v>2174</v>
      </c>
      <c r="FF3" s="2">
        <v>2175</v>
      </c>
      <c r="FG3" s="2">
        <v>2176</v>
      </c>
      <c r="FH3" s="2">
        <v>2177</v>
      </c>
      <c r="FI3" s="2">
        <v>2178</v>
      </c>
      <c r="FJ3" s="2">
        <v>2179</v>
      </c>
      <c r="FK3" s="2">
        <v>2180</v>
      </c>
      <c r="FL3" s="2">
        <v>2181</v>
      </c>
      <c r="FM3" s="2">
        <v>2182</v>
      </c>
      <c r="FN3" s="2">
        <v>2183</v>
      </c>
      <c r="FO3" s="2">
        <v>2184</v>
      </c>
      <c r="FP3" s="2">
        <v>2185</v>
      </c>
      <c r="FQ3" s="2">
        <v>2186</v>
      </c>
      <c r="FR3" s="2">
        <v>2187</v>
      </c>
      <c r="FS3" s="2">
        <v>2188</v>
      </c>
      <c r="FT3" s="2">
        <v>2189</v>
      </c>
      <c r="FU3" s="2">
        <v>2190</v>
      </c>
      <c r="FV3" s="2">
        <v>2191</v>
      </c>
      <c r="FW3" s="2">
        <v>2192</v>
      </c>
      <c r="FX3" s="2">
        <v>2193</v>
      </c>
      <c r="FY3" s="2">
        <v>2194</v>
      </c>
      <c r="FZ3" s="2">
        <v>2195</v>
      </c>
      <c r="GA3" s="2">
        <v>2196</v>
      </c>
      <c r="GB3" s="2">
        <v>2197</v>
      </c>
      <c r="GC3" s="2">
        <v>2198</v>
      </c>
      <c r="GD3" s="2">
        <v>2199</v>
      </c>
      <c r="GE3" s="2">
        <v>2200</v>
      </c>
      <c r="GF3" s="2">
        <v>2201</v>
      </c>
      <c r="GG3" s="2">
        <v>2202</v>
      </c>
      <c r="GH3" s="2">
        <v>2203</v>
      </c>
      <c r="GI3" s="2">
        <v>2204</v>
      </c>
      <c r="GJ3" s="2">
        <v>2205</v>
      </c>
      <c r="GK3" s="2">
        <v>2206</v>
      </c>
      <c r="GL3" s="2">
        <v>2207</v>
      </c>
      <c r="GM3" s="2">
        <v>2208</v>
      </c>
      <c r="GN3" s="2">
        <v>2209</v>
      </c>
      <c r="GO3" s="2">
        <v>2210</v>
      </c>
      <c r="GP3" s="2">
        <v>2211</v>
      </c>
      <c r="GQ3" s="2">
        <v>2212</v>
      </c>
      <c r="GR3" s="2">
        <v>2213</v>
      </c>
      <c r="GS3" s="2">
        <v>2214</v>
      </c>
      <c r="GT3" s="2">
        <v>2215</v>
      </c>
      <c r="GU3" s="2">
        <v>2216</v>
      </c>
      <c r="GV3" s="2">
        <v>2217</v>
      </c>
      <c r="GW3" s="2">
        <v>2218</v>
      </c>
      <c r="GX3" s="2">
        <v>2219</v>
      </c>
      <c r="GY3" s="2">
        <v>2220</v>
      </c>
      <c r="GZ3" s="2">
        <v>2221</v>
      </c>
      <c r="HA3" s="2">
        <v>2222</v>
      </c>
      <c r="HB3" s="2">
        <v>2223</v>
      </c>
      <c r="HC3" s="2">
        <v>2224</v>
      </c>
      <c r="HD3" s="2">
        <v>2225</v>
      </c>
      <c r="HE3" s="2">
        <v>2226</v>
      </c>
      <c r="HF3" s="2">
        <v>2227</v>
      </c>
      <c r="HG3" s="2">
        <v>2228</v>
      </c>
      <c r="HH3" s="2">
        <v>2229</v>
      </c>
      <c r="HI3" s="2">
        <v>2230</v>
      </c>
      <c r="HJ3" s="2">
        <v>2231</v>
      </c>
      <c r="HK3" s="2">
        <v>2232</v>
      </c>
      <c r="HL3" s="2">
        <v>2233</v>
      </c>
      <c r="HM3" s="2">
        <v>2234</v>
      </c>
      <c r="HN3" s="2">
        <v>2235</v>
      </c>
      <c r="HO3" s="2">
        <v>2236</v>
      </c>
      <c r="HP3" s="2">
        <v>2237</v>
      </c>
      <c r="HQ3" s="2">
        <v>2238</v>
      </c>
      <c r="HR3" s="2">
        <v>2239</v>
      </c>
      <c r="HS3" s="2">
        <v>2240</v>
      </c>
      <c r="HT3" s="2">
        <v>2241</v>
      </c>
      <c r="HU3" s="2">
        <v>2242</v>
      </c>
      <c r="HV3" s="2">
        <v>2243</v>
      </c>
      <c r="HW3" s="2">
        <v>2244</v>
      </c>
      <c r="HX3" s="2">
        <v>2245</v>
      </c>
      <c r="HY3" s="2">
        <v>2246</v>
      </c>
      <c r="HZ3" s="2">
        <v>2247</v>
      </c>
      <c r="IA3" s="2">
        <v>2248</v>
      </c>
      <c r="IB3" s="2">
        <v>2249</v>
      </c>
      <c r="IC3" s="2">
        <v>2250</v>
      </c>
      <c r="ID3" s="2">
        <v>2251</v>
      </c>
      <c r="IE3" s="2">
        <v>2252</v>
      </c>
      <c r="IF3" s="2">
        <v>2253</v>
      </c>
      <c r="IG3" s="2">
        <v>2254</v>
      </c>
      <c r="IH3" s="2">
        <v>2255</v>
      </c>
    </row>
    <row r="4" spans="2:242">
      <c r="B4" s="8" t="s">
        <v>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</row>
    <row r="5" spans="2:242">
      <c r="B5" s="66" t="s">
        <v>4</v>
      </c>
      <c r="C5" s="67">
        <v>4718.8999999999996</v>
      </c>
      <c r="D5" s="67">
        <v>6424.4</v>
      </c>
      <c r="E5" s="67">
        <v>8259.1</v>
      </c>
      <c r="F5" s="67">
        <v>8996.2000000000007</v>
      </c>
      <c r="G5" s="67">
        <v>10316.6</v>
      </c>
      <c r="H5" s="67">
        <v>13652.8</v>
      </c>
      <c r="I5" s="67">
        <v>15430.3</v>
      </c>
      <c r="J5" s="67">
        <v>21938.6</v>
      </c>
      <c r="K5" s="67">
        <v>21768.7</v>
      </c>
      <c r="L5" s="67">
        <v>24474.3</v>
      </c>
      <c r="M5" s="67">
        <f t="shared" ref="M5:Q5" si="0">L5*1.22</f>
        <v>29858.645999999997</v>
      </c>
      <c r="N5" s="67">
        <f t="shared" si="0"/>
        <v>36427.548119999992</v>
      </c>
      <c r="O5" s="67">
        <f t="shared" si="0"/>
        <v>44441.608706399988</v>
      </c>
      <c r="P5" s="67">
        <f t="shared" si="0"/>
        <v>54218.762621807982</v>
      </c>
      <c r="Q5" s="67">
        <f t="shared" si="0"/>
        <v>66146.890398605741</v>
      </c>
      <c r="R5" s="67">
        <f t="shared" ref="R5:V5" si="1">Q5*1.22</f>
        <v>80699.206286298999</v>
      </c>
      <c r="S5" s="67">
        <f t="shared" si="1"/>
        <v>98453.03166928477</v>
      </c>
      <c r="T5" s="67">
        <f t="shared" si="1"/>
        <v>120112.69863652742</v>
      </c>
      <c r="U5" s="67">
        <f t="shared" si="1"/>
        <v>146537.49233656345</v>
      </c>
      <c r="V5" s="67">
        <f t="shared" si="1"/>
        <v>178775.74065060739</v>
      </c>
    </row>
    <row r="6" spans="2:242">
      <c r="B6" s="66" t="s">
        <v>5</v>
      </c>
      <c r="C6" s="67">
        <v>2156.1999999999998</v>
      </c>
      <c r="D6" s="67">
        <v>2538.3000000000002</v>
      </c>
      <c r="E6" s="67">
        <v>2684.9</v>
      </c>
      <c r="F6" s="67">
        <v>2823.8</v>
      </c>
      <c r="G6" s="67">
        <v>3661.9</v>
      </c>
      <c r="H6" s="67">
        <v>4958.2</v>
      </c>
      <c r="I6" s="67">
        <v>5743.1</v>
      </c>
      <c r="J6" s="67">
        <v>5619.9</v>
      </c>
      <c r="K6" s="67">
        <v>6494.2</v>
      </c>
      <c r="L6" s="67">
        <v>8193</v>
      </c>
      <c r="M6" s="67">
        <f t="shared" ref="M6:Q6" si="2">L6*1.155</f>
        <v>9462.9150000000009</v>
      </c>
      <c r="N6" s="67">
        <f t="shared" si="2"/>
        <v>10929.666825000002</v>
      </c>
      <c r="O6" s="67">
        <f t="shared" si="2"/>
        <v>12623.765182875002</v>
      </c>
      <c r="P6" s="67">
        <f t="shared" si="2"/>
        <v>14580.448786220628</v>
      </c>
      <c r="Q6" s="67">
        <f t="shared" si="2"/>
        <v>16840.418348084826</v>
      </c>
      <c r="R6" s="67">
        <f t="shared" ref="R6:V6" si="3">Q6*1.155</f>
        <v>19450.683192037974</v>
      </c>
      <c r="S6" s="67">
        <f t="shared" si="3"/>
        <v>22465.539086803859</v>
      </c>
      <c r="T6" s="67">
        <f t="shared" si="3"/>
        <v>25947.697645258457</v>
      </c>
      <c r="U6" s="67">
        <f t="shared" si="3"/>
        <v>29969.590780273516</v>
      </c>
      <c r="V6" s="67">
        <f t="shared" si="3"/>
        <v>34614.87735121591</v>
      </c>
    </row>
    <row r="7" spans="2:242">
      <c r="B7" s="7" t="s">
        <v>6</v>
      </c>
      <c r="C7" s="59">
        <f t="shared" ref="C7" si="4">SUM(C5:C6)</f>
        <v>6875.0999999999995</v>
      </c>
      <c r="D7" s="59">
        <f t="shared" ref="D7" si="5">SUM(D5:D6)</f>
        <v>8962.7000000000007</v>
      </c>
      <c r="E7" s="59">
        <f t="shared" ref="E7" si="6">SUM(E5:E6)</f>
        <v>10944</v>
      </c>
      <c r="F7" s="59">
        <f t="shared" ref="F7" si="7">SUM(F5:F6)</f>
        <v>11820</v>
      </c>
      <c r="G7" s="59">
        <f t="shared" ref="G7" si="8">SUM(G5:G6)</f>
        <v>13978.5</v>
      </c>
      <c r="H7" s="59">
        <f t="shared" ref="H7" si="9">SUM(H5:H6)</f>
        <v>18611</v>
      </c>
      <c r="I7" s="59">
        <f>SUM(I5:I6)</f>
        <v>21173.4</v>
      </c>
      <c r="J7" s="59">
        <f>SUM(J5:J6)</f>
        <v>27558.5</v>
      </c>
      <c r="K7" s="59">
        <f t="shared" ref="K7:L7" si="10">SUM(K5:K6)</f>
        <v>28262.9</v>
      </c>
      <c r="L7" s="59">
        <f t="shared" si="10"/>
        <v>32667.3</v>
      </c>
      <c r="M7" s="59">
        <f t="shared" ref="M7" si="11">SUM(M5:M6)</f>
        <v>39321.561000000002</v>
      </c>
      <c r="N7" s="59">
        <f t="shared" ref="N7" si="12">SUM(N5:N6)</f>
        <v>47357.214944999992</v>
      </c>
      <c r="O7" s="59">
        <f t="shared" ref="O7" si="13">SUM(O5:O6)</f>
        <v>57065.37388927499</v>
      </c>
      <c r="P7" s="59">
        <f t="shared" ref="P7" si="14">SUM(P5:P6)</f>
        <v>68799.211408028612</v>
      </c>
      <c r="Q7" s="59">
        <f t="shared" ref="Q7" si="15">SUM(Q5:Q6)</f>
        <v>82987.308746690571</v>
      </c>
      <c r="R7" s="59">
        <f t="shared" ref="R7" si="16">SUM(R5:R6)</f>
        <v>100149.88947833698</v>
      </c>
      <c r="S7" s="59">
        <f t="shared" ref="S7" si="17">SUM(S5:S6)</f>
        <v>120918.57075608862</v>
      </c>
      <c r="T7" s="59">
        <f t="shared" ref="T7" si="18">SUM(T5:T6)</f>
        <v>146060.39628178588</v>
      </c>
      <c r="U7" s="59">
        <f t="shared" ref="U7" si="19">SUM(U5:U6)</f>
        <v>176507.08311683696</v>
      </c>
      <c r="V7" s="59">
        <f t="shared" ref="V7" si="20">SUM(V5:V6)</f>
        <v>213390.61800182331</v>
      </c>
    </row>
    <row r="8" spans="2:242">
      <c r="B8" s="7" t="s">
        <v>7</v>
      </c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</row>
    <row r="9" spans="2:242">
      <c r="B9" s="66" t="s">
        <v>8</v>
      </c>
      <c r="C9" s="67">
        <v>-2423.9</v>
      </c>
      <c r="D9" s="67">
        <v>-3439.9</v>
      </c>
      <c r="E9" s="67">
        <v>-4141.2</v>
      </c>
      <c r="F9" s="67">
        <v>-4676.2</v>
      </c>
      <c r="G9" s="67">
        <v>-5169.3</v>
      </c>
      <c r="H9" s="67">
        <v>-6482.9</v>
      </c>
      <c r="I9" s="67">
        <v>-7582.3</v>
      </c>
      <c r="J9" s="67">
        <v>-10151</v>
      </c>
      <c r="K9" s="67">
        <v>-10406.9</v>
      </c>
      <c r="L9" s="67">
        <v>-11384</v>
      </c>
      <c r="M9" s="67">
        <f t="shared" ref="M9:Q9" si="21">L9*1.21</f>
        <v>-13774.64</v>
      </c>
      <c r="N9" s="67">
        <f t="shared" si="21"/>
        <v>-16667.314399999999</v>
      </c>
      <c r="O9" s="67">
        <f t="shared" si="21"/>
        <v>-20167.450423999999</v>
      </c>
      <c r="P9" s="67">
        <f t="shared" si="21"/>
        <v>-24402.615013039998</v>
      </c>
      <c r="Q9" s="67">
        <f t="shared" si="21"/>
        <v>-29527.164165778398</v>
      </c>
      <c r="R9" s="67">
        <f t="shared" ref="R9:V9" si="22">Q9*1.21</f>
        <v>-35727.868640591863</v>
      </c>
      <c r="S9" s="67">
        <f t="shared" si="22"/>
        <v>-43230.721055116155</v>
      </c>
      <c r="T9" s="67">
        <f t="shared" si="22"/>
        <v>-52309.172476690546</v>
      </c>
      <c r="U9" s="67">
        <f t="shared" si="22"/>
        <v>-63294.098696795561</v>
      </c>
      <c r="V9" s="67">
        <f t="shared" si="22"/>
        <v>-76585.859423122631</v>
      </c>
    </row>
    <row r="10" spans="2:242">
      <c r="B10" s="66" t="s">
        <v>9</v>
      </c>
      <c r="C10" s="67">
        <v>-1305.9000000000001</v>
      </c>
      <c r="D10" s="67">
        <v>-1502.6</v>
      </c>
      <c r="E10" s="67">
        <v>-1773.6</v>
      </c>
      <c r="F10" s="67">
        <v>-1864</v>
      </c>
      <c r="G10" s="67">
        <v>-2012</v>
      </c>
      <c r="H10" s="67">
        <v>-2319.1</v>
      </c>
      <c r="I10" s="67">
        <v>-2891</v>
      </c>
      <c r="J10" s="67">
        <v>-3271.4</v>
      </c>
      <c r="K10" s="67">
        <v>-3364</v>
      </c>
      <c r="L10" s="67">
        <v>-4025.3</v>
      </c>
      <c r="M10" s="67">
        <f t="shared" ref="M10:Q10" si="23">L10*1.13</f>
        <v>-4548.5889999999999</v>
      </c>
      <c r="N10" s="67">
        <f t="shared" si="23"/>
        <v>-5139.9055699999999</v>
      </c>
      <c r="O10" s="67">
        <f t="shared" si="23"/>
        <v>-5808.0932940999992</v>
      </c>
      <c r="P10" s="67">
        <f t="shared" si="23"/>
        <v>-6563.1454223329984</v>
      </c>
      <c r="Q10" s="67">
        <f t="shared" si="23"/>
        <v>-7416.3543272362876</v>
      </c>
      <c r="R10" s="67">
        <f t="shared" ref="R10:V10" si="24">Q10*1.13</f>
        <v>-8380.4803897770034</v>
      </c>
      <c r="S10" s="67">
        <f t="shared" si="24"/>
        <v>-9469.9428404480132</v>
      </c>
      <c r="T10" s="67">
        <f t="shared" si="24"/>
        <v>-10701.035409706254</v>
      </c>
      <c r="U10" s="67">
        <f t="shared" si="24"/>
        <v>-12092.170012968065</v>
      </c>
      <c r="V10" s="67">
        <f t="shared" si="24"/>
        <v>-13664.152114653913</v>
      </c>
    </row>
    <row r="11" spans="2:242">
      <c r="B11" s="7" t="s">
        <v>10</v>
      </c>
      <c r="C11" s="60">
        <f t="shared" ref="C11" si="25">SUM(C9:C10)</f>
        <v>-3729.8</v>
      </c>
      <c r="D11" s="60">
        <f t="shared" ref="D11" si="26">SUM(D9:D10)</f>
        <v>-4942.5</v>
      </c>
      <c r="E11" s="60">
        <f t="shared" ref="E11" si="27">SUM(E9:E10)</f>
        <v>-5914.7999999999993</v>
      </c>
      <c r="F11" s="60">
        <f t="shared" ref="F11" si="28">SUM(F9:F10)</f>
        <v>-6540.2</v>
      </c>
      <c r="G11" s="60">
        <f t="shared" ref="G11" si="29">SUM(G9:G10)</f>
        <v>-7181.3</v>
      </c>
      <c r="H11" s="60">
        <f t="shared" ref="H11" si="30">SUM(H9:H10)</f>
        <v>-8802</v>
      </c>
      <c r="I11" s="60">
        <f>SUM(I9:I10)</f>
        <v>-10473.299999999999</v>
      </c>
      <c r="J11" s="60">
        <f>SUM(J9:J10)</f>
        <v>-13422.4</v>
      </c>
      <c r="K11" s="60">
        <f t="shared" ref="K11" si="31">SUM(K9:K10)</f>
        <v>-13770.9</v>
      </c>
      <c r="L11" s="60">
        <f>SUM(L9:L10)</f>
        <v>-15409.3</v>
      </c>
      <c r="M11" s="60">
        <f t="shared" ref="M11:Q11" si="32">SUM(M9:M10)</f>
        <v>-18323.228999999999</v>
      </c>
      <c r="N11" s="60">
        <f t="shared" si="32"/>
        <v>-21807.219969999998</v>
      </c>
      <c r="O11" s="60">
        <f t="shared" si="32"/>
        <v>-25975.543718099998</v>
      </c>
      <c r="P11" s="60">
        <f t="shared" si="32"/>
        <v>-30965.760435372998</v>
      </c>
      <c r="Q11" s="60">
        <f t="shared" si="32"/>
        <v>-36943.518493014686</v>
      </c>
      <c r="R11" s="60">
        <f t="shared" ref="R11" si="33">SUM(R9:R10)</f>
        <v>-44108.349030368867</v>
      </c>
      <c r="S11" s="60">
        <f t="shared" ref="S11" si="34">SUM(S9:S10)</f>
        <v>-52700.663895564168</v>
      </c>
      <c r="T11" s="60">
        <f t="shared" ref="T11" si="35">SUM(T9:T10)</f>
        <v>-63010.207886396798</v>
      </c>
      <c r="U11" s="60">
        <f t="shared" ref="U11" si="36">SUM(U9:U10)</f>
        <v>-75386.268709763623</v>
      </c>
      <c r="V11" s="60">
        <f t="shared" ref="V11" si="37">SUM(V9:V10)</f>
        <v>-90250.011537776547</v>
      </c>
    </row>
    <row r="12" spans="2:242" ht="14.7" thickBot="1">
      <c r="B12" s="9" t="s">
        <v>11</v>
      </c>
      <c r="C12" s="61">
        <f t="shared" ref="C12" si="38">C7+C11</f>
        <v>3145.2999999999993</v>
      </c>
      <c r="D12" s="61">
        <f t="shared" ref="D12" si="39">D7+D11</f>
        <v>4020.2000000000007</v>
      </c>
      <c r="E12" s="61">
        <f t="shared" ref="E12" si="40">E7+E11</f>
        <v>5029.2000000000007</v>
      </c>
      <c r="F12" s="61">
        <f t="shared" ref="F12" si="41">F7+F11</f>
        <v>5279.8</v>
      </c>
      <c r="G12" s="61">
        <f t="shared" ref="G12" si="42">G7+G11</f>
        <v>6797.2</v>
      </c>
      <c r="H12" s="61">
        <f t="shared" ref="H12" si="43">H7+H11</f>
        <v>9809</v>
      </c>
      <c r="I12" s="61">
        <f>I7+I11</f>
        <v>10700.100000000002</v>
      </c>
      <c r="J12" s="61">
        <f>J7+J11</f>
        <v>14136.1</v>
      </c>
      <c r="K12" s="61">
        <f t="shared" ref="K12" si="44">K7+K11</f>
        <v>14492.000000000002</v>
      </c>
      <c r="L12" s="61">
        <f>L7+L11</f>
        <v>17258</v>
      </c>
      <c r="M12" s="61">
        <f t="shared" ref="M12:Q12" si="45">M7+M11</f>
        <v>20998.332000000002</v>
      </c>
      <c r="N12" s="61">
        <f t="shared" si="45"/>
        <v>25549.994974999994</v>
      </c>
      <c r="O12" s="61">
        <f t="shared" si="45"/>
        <v>31089.830171174992</v>
      </c>
      <c r="P12" s="61">
        <f t="shared" si="45"/>
        <v>37833.450972655613</v>
      </c>
      <c r="Q12" s="61">
        <f t="shared" si="45"/>
        <v>46043.790253675885</v>
      </c>
      <c r="R12" s="61">
        <f t="shared" ref="R12" si="46">R7+R11</f>
        <v>56041.540447968109</v>
      </c>
      <c r="S12" s="61">
        <f t="shared" ref="S12" si="47">S7+S11</f>
        <v>68217.906860524454</v>
      </c>
      <c r="T12" s="61">
        <f t="shared" ref="T12" si="48">T7+T11</f>
        <v>83050.188395389094</v>
      </c>
      <c r="U12" s="61">
        <f t="shared" ref="U12" si="49">U7+U11</f>
        <v>101120.81440707334</v>
      </c>
      <c r="V12" s="61">
        <f t="shared" ref="V12" si="50">V7+V11</f>
        <v>123140.60646404677</v>
      </c>
    </row>
    <row r="13" spans="2:242" ht="14.7" thickTop="1">
      <c r="B13" s="7" t="s">
        <v>20</v>
      </c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</row>
    <row r="14" spans="2:242">
      <c r="B14" s="66" t="s">
        <v>12</v>
      </c>
      <c r="C14" s="67">
        <v>-1105.8</v>
      </c>
      <c r="D14" s="67">
        <v>-1259.7</v>
      </c>
      <c r="E14" s="67">
        <v>-1575.9</v>
      </c>
      <c r="F14" s="67">
        <v>-1968.5</v>
      </c>
      <c r="G14" s="67">
        <v>-2200.8000000000002</v>
      </c>
      <c r="H14" s="67">
        <v>-2547</v>
      </c>
      <c r="I14" s="67">
        <v>-3253.5</v>
      </c>
      <c r="J14" s="67">
        <v>-3980.6</v>
      </c>
      <c r="K14" s="67">
        <v>-4303.7</v>
      </c>
      <c r="L14" s="67">
        <v>-4698.8</v>
      </c>
      <c r="M14" s="67">
        <f t="shared" ref="M14:Q14" si="51">L14*1.185</f>
        <v>-5568.0780000000004</v>
      </c>
      <c r="N14" s="67">
        <f t="shared" si="51"/>
        <v>-6598.1724300000005</v>
      </c>
      <c r="O14" s="67">
        <f t="shared" si="51"/>
        <v>-7818.8343295500008</v>
      </c>
      <c r="P14" s="67">
        <f t="shared" si="51"/>
        <v>-9265.3186805167516</v>
      </c>
      <c r="Q14" s="67">
        <f t="shared" si="51"/>
        <v>-10979.402636412351</v>
      </c>
      <c r="R14" s="67">
        <f t="shared" ref="R14:V14" si="52">Q14*1.185</f>
        <v>-13010.592124148636</v>
      </c>
      <c r="S14" s="67">
        <f t="shared" si="52"/>
        <v>-15417.551667116135</v>
      </c>
      <c r="T14" s="67">
        <f t="shared" si="52"/>
        <v>-18269.798725532622</v>
      </c>
      <c r="U14" s="67">
        <f t="shared" si="52"/>
        <v>-21649.711489756159</v>
      </c>
      <c r="V14" s="67">
        <f t="shared" si="52"/>
        <v>-25654.90811536105</v>
      </c>
    </row>
    <row r="15" spans="2:242">
      <c r="B15" s="66" t="s">
        <v>18</v>
      </c>
      <c r="C15" s="67">
        <v>-374.8</v>
      </c>
      <c r="D15" s="67">
        <v>-416.6</v>
      </c>
      <c r="E15" s="67">
        <v>-488</v>
      </c>
      <c r="F15" s="67">
        <v>-520.5</v>
      </c>
      <c r="G15" s="67">
        <v>-544.9</v>
      </c>
      <c r="H15" s="67">
        <v>-725.6</v>
      </c>
      <c r="I15" s="67">
        <v>-945.9</v>
      </c>
      <c r="J15" s="67">
        <v>-1113.2</v>
      </c>
      <c r="K15" s="67">
        <v>-1165.7</v>
      </c>
      <c r="L15" s="67">
        <v>-1257.8</v>
      </c>
      <c r="M15" s="67">
        <f t="shared" ref="M15:Q15" si="53">L15*1.19</f>
        <v>-1496.7819999999999</v>
      </c>
      <c r="N15" s="67">
        <f t="shared" si="53"/>
        <v>-1781.1705799999997</v>
      </c>
      <c r="O15" s="67">
        <f t="shared" si="53"/>
        <v>-2119.5929901999998</v>
      </c>
      <c r="P15" s="67">
        <f t="shared" si="53"/>
        <v>-2522.3156583379996</v>
      </c>
      <c r="Q15" s="67">
        <f t="shared" si="53"/>
        <v>-3001.5556334222192</v>
      </c>
      <c r="R15" s="67">
        <f t="shared" ref="R15:V15" si="54">Q15*1.19</f>
        <v>-3571.8512037724408</v>
      </c>
      <c r="S15" s="67">
        <f t="shared" si="54"/>
        <v>-4250.5029324892048</v>
      </c>
      <c r="T15" s="67">
        <f t="shared" si="54"/>
        <v>-5058.098489662153</v>
      </c>
      <c r="U15" s="67">
        <f t="shared" si="54"/>
        <v>-6019.1372026979616</v>
      </c>
      <c r="V15" s="67">
        <f t="shared" si="54"/>
        <v>-7162.7732712105735</v>
      </c>
    </row>
    <row r="16" spans="2:242">
      <c r="B16" s="66" t="s">
        <v>13</v>
      </c>
      <c r="C16" s="67">
        <v>93.8</v>
      </c>
      <c r="D16" s="67">
        <v>95.8</v>
      </c>
      <c r="E16" s="67">
        <v>0</v>
      </c>
      <c r="F16" s="67">
        <v>0</v>
      </c>
      <c r="G16" s="67">
        <v>0</v>
      </c>
      <c r="H16" s="67">
        <v>213.7</v>
      </c>
      <c r="I16" s="67">
        <v>0</v>
      </c>
      <c r="J16" s="67">
        <v>0</v>
      </c>
      <c r="K16" s="67">
        <v>0</v>
      </c>
      <c r="L16" s="67">
        <v>0</v>
      </c>
      <c r="M16" s="67">
        <v>0</v>
      </c>
      <c r="N16" s="67">
        <v>0</v>
      </c>
      <c r="O16" s="67">
        <v>0</v>
      </c>
      <c r="P16" s="67">
        <v>0</v>
      </c>
      <c r="Q16" s="67">
        <v>0</v>
      </c>
      <c r="R16" s="67">
        <v>0</v>
      </c>
      <c r="S16" s="67">
        <v>0</v>
      </c>
      <c r="T16" s="67">
        <v>0</v>
      </c>
      <c r="U16" s="67">
        <v>0</v>
      </c>
      <c r="V16" s="67">
        <v>0</v>
      </c>
    </row>
    <row r="17" spans="2:242">
      <c r="B17" s="7" t="s">
        <v>19</v>
      </c>
      <c r="C17" s="59">
        <f>SUM(C14:C16)</f>
        <v>-1386.8</v>
      </c>
      <c r="D17" s="59">
        <f>SUM(D14:D16)</f>
        <v>-1580.5000000000002</v>
      </c>
      <c r="E17" s="59">
        <f t="shared" ref="E17" si="55">SUM(E14:E16)</f>
        <v>-2063.9</v>
      </c>
      <c r="F17" s="59">
        <f>SUM(F14:F16)</f>
        <v>-2489</v>
      </c>
      <c r="G17" s="59">
        <f>SUM(G14:G16)</f>
        <v>-2745.7000000000003</v>
      </c>
      <c r="H17" s="59">
        <f t="shared" ref="H17:L17" si="56">SUM(H14:H16)</f>
        <v>-3058.9</v>
      </c>
      <c r="I17" s="59">
        <f t="shared" si="56"/>
        <v>-4199.3999999999996</v>
      </c>
      <c r="J17" s="59">
        <f t="shared" si="56"/>
        <v>-5093.8</v>
      </c>
      <c r="K17" s="59">
        <f t="shared" si="56"/>
        <v>-5469.4</v>
      </c>
      <c r="L17" s="59">
        <f t="shared" si="56"/>
        <v>-5956.6</v>
      </c>
      <c r="M17" s="59">
        <f t="shared" ref="M17" si="57">SUM(M14:M16)</f>
        <v>-7064.8600000000006</v>
      </c>
      <c r="N17" s="59">
        <f t="shared" ref="N17" si="58">SUM(N14:N16)</f>
        <v>-8379.3430100000005</v>
      </c>
      <c r="O17" s="59">
        <f t="shared" ref="O17" si="59">SUM(O14:O16)</f>
        <v>-9938.4273197500006</v>
      </c>
      <c r="P17" s="59">
        <f t="shared" ref="P17" si="60">SUM(P14:P16)</f>
        <v>-11787.63433885475</v>
      </c>
      <c r="Q17" s="59">
        <f t="shared" ref="Q17" si="61">SUM(Q14:Q16)</f>
        <v>-13980.958269834569</v>
      </c>
      <c r="R17" s="59">
        <f t="shared" ref="R17" si="62">SUM(R14:R16)</f>
        <v>-16582.443327921075</v>
      </c>
      <c r="S17" s="59">
        <f t="shared" ref="S17" si="63">SUM(S14:S16)</f>
        <v>-19668.054599605341</v>
      </c>
      <c r="T17" s="59">
        <f t="shared" ref="T17" si="64">SUM(T14:T16)</f>
        <v>-23327.897215194775</v>
      </c>
      <c r="U17" s="59">
        <f t="shared" ref="U17" si="65">SUM(U14:U16)</f>
        <v>-27668.848692454121</v>
      </c>
      <c r="V17" s="59">
        <f t="shared" ref="V17" si="66">SUM(V14:V16)</f>
        <v>-32817.681386571625</v>
      </c>
    </row>
    <row r="18" spans="2:242" ht="14.7" thickBot="1">
      <c r="B18" s="9" t="s">
        <v>17</v>
      </c>
      <c r="C18" s="61">
        <f t="shared" ref="C18" si="67">C12+C17</f>
        <v>1758.4999999999993</v>
      </c>
      <c r="D18" s="61">
        <f t="shared" ref="D18" si="68">D12+D17</f>
        <v>2439.7000000000007</v>
      </c>
      <c r="E18" s="61">
        <f t="shared" ref="E18" si="69">E12+E17</f>
        <v>2965.3000000000006</v>
      </c>
      <c r="F18" s="61">
        <f t="shared" ref="F18" si="70">F12+F17</f>
        <v>2790.8</v>
      </c>
      <c r="G18" s="61">
        <f t="shared" ref="G18" si="71">G12+G17</f>
        <v>4051.4999999999995</v>
      </c>
      <c r="H18" s="61">
        <f t="shared" ref="H18" si="72">H12+H17</f>
        <v>6750.1</v>
      </c>
      <c r="I18" s="61">
        <f>I12+I17</f>
        <v>6500.7000000000025</v>
      </c>
      <c r="J18" s="61">
        <f>J12+J17</f>
        <v>9042.2999999999993</v>
      </c>
      <c r="K18" s="61">
        <f t="shared" ref="K18:L18" si="73">K12+K17</f>
        <v>9022.6000000000022</v>
      </c>
      <c r="L18" s="61">
        <f t="shared" si="73"/>
        <v>11301.4</v>
      </c>
      <c r="M18" s="61">
        <f t="shared" ref="M18" si="74">M12+M17</f>
        <v>13933.472000000002</v>
      </c>
      <c r="N18" s="61">
        <f t="shared" ref="N18" si="75">N12+N17</f>
        <v>17170.651964999994</v>
      </c>
      <c r="O18" s="61">
        <f t="shared" ref="O18" si="76">O12+O17</f>
        <v>21151.402851424991</v>
      </c>
      <c r="P18" s="61">
        <f t="shared" ref="P18" si="77">P12+P17</f>
        <v>26045.816633800863</v>
      </c>
      <c r="Q18" s="61">
        <f t="shared" ref="Q18" si="78">Q12+Q17</f>
        <v>32062.831983841315</v>
      </c>
      <c r="R18" s="61">
        <f t="shared" ref="R18" si="79">R12+R17</f>
        <v>39459.097120047038</v>
      </c>
      <c r="S18" s="61">
        <f t="shared" ref="S18" si="80">S12+S17</f>
        <v>48549.852260919113</v>
      </c>
      <c r="T18" s="61">
        <f t="shared" ref="T18" si="81">T12+T17</f>
        <v>59722.291180194319</v>
      </c>
      <c r="U18" s="61">
        <f t="shared" ref="U18" si="82">U12+U17</f>
        <v>73451.965714619218</v>
      </c>
      <c r="V18" s="61">
        <f t="shared" ref="V18" si="83">V12+V17</f>
        <v>90322.925077475142</v>
      </c>
    </row>
    <row r="19" spans="2:242" ht="14.7" thickTop="1">
      <c r="B19" s="66" t="s">
        <v>14</v>
      </c>
      <c r="C19" s="67">
        <v>33.700000000000003</v>
      </c>
      <c r="D19" s="67">
        <v>-50.3</v>
      </c>
      <c r="E19" s="67">
        <v>-28.3</v>
      </c>
      <c r="F19" s="67">
        <v>-25</v>
      </c>
      <c r="G19" s="67">
        <v>-34.9</v>
      </c>
      <c r="H19" s="67">
        <v>-44.6</v>
      </c>
      <c r="I19" s="67">
        <v>-44.6</v>
      </c>
      <c r="J19" s="67">
        <v>41.2</v>
      </c>
      <c r="K19" s="67">
        <v>19.8</v>
      </c>
      <c r="L19" s="67">
        <v>104.7</v>
      </c>
      <c r="M19" s="67"/>
      <c r="N19" s="67"/>
      <c r="O19" s="67"/>
      <c r="P19" s="67"/>
      <c r="Q19" s="67"/>
      <c r="R19" s="67"/>
      <c r="S19" s="67"/>
      <c r="T19" s="67"/>
      <c r="U19" s="67"/>
      <c r="V19" s="67"/>
    </row>
    <row r="20" spans="2:242">
      <c r="B20" s="9" t="s">
        <v>23</v>
      </c>
      <c r="C20" s="59">
        <f t="shared" ref="C20" si="84">SUM(C18:C19)</f>
        <v>1792.1999999999994</v>
      </c>
      <c r="D20" s="59">
        <f t="shared" ref="D20" si="85">SUM(D18:D19)</f>
        <v>2389.4000000000005</v>
      </c>
      <c r="E20" s="59">
        <f t="shared" ref="E20" si="86">SUM(E18:E19)</f>
        <v>2937.0000000000005</v>
      </c>
      <c r="F20" s="59">
        <f t="shared" ref="F20" si="87">SUM(F18:F19)</f>
        <v>2765.8</v>
      </c>
      <c r="G20" s="59">
        <f t="shared" ref="G20" si="88">SUM(G18:G19)</f>
        <v>4016.5999999999995</v>
      </c>
      <c r="H20" s="59">
        <f t="shared" ref="H20" si="89">SUM(H18:H19)</f>
        <v>6705.5</v>
      </c>
      <c r="I20" s="59">
        <f>SUM(I18:I19)</f>
        <v>6456.1000000000022</v>
      </c>
      <c r="J20" s="59">
        <f>SUM(J18:J19)</f>
        <v>9083.5</v>
      </c>
      <c r="K20" s="59">
        <f t="shared" ref="K20:L20" si="90">SUM(K18:K19)</f>
        <v>9042.4000000000015</v>
      </c>
      <c r="L20" s="59">
        <f t="shared" si="90"/>
        <v>11406.1</v>
      </c>
      <c r="M20" s="59">
        <f t="shared" ref="M20" si="91">SUM(M18:M19)</f>
        <v>13933.472000000002</v>
      </c>
      <c r="N20" s="59">
        <f t="shared" ref="N20" si="92">SUM(N18:N19)</f>
        <v>17170.651964999994</v>
      </c>
      <c r="O20" s="59">
        <f t="shared" ref="O20" si="93">SUM(O18:O19)</f>
        <v>21151.402851424991</v>
      </c>
      <c r="P20" s="59">
        <f t="shared" ref="P20" si="94">SUM(P18:P19)</f>
        <v>26045.816633800863</v>
      </c>
      <c r="Q20" s="59">
        <f t="shared" ref="Q20" si="95">SUM(Q18:Q19)</f>
        <v>32062.831983841315</v>
      </c>
      <c r="R20" s="59">
        <f t="shared" ref="R20" si="96">SUM(R18:R19)</f>
        <v>39459.097120047038</v>
      </c>
      <c r="S20" s="59">
        <f t="shared" ref="S20" si="97">SUM(S18:S19)</f>
        <v>48549.852260919113</v>
      </c>
      <c r="T20" s="59">
        <f t="shared" ref="T20" si="98">SUM(T18:T19)</f>
        <v>59722.291180194319</v>
      </c>
      <c r="U20" s="59">
        <f t="shared" ref="U20" si="99">SUM(U18:U19)</f>
        <v>73451.965714619218</v>
      </c>
      <c r="V20" s="59">
        <f t="shared" ref="V20" si="100">SUM(V18:V19)</f>
        <v>90322.925077475142</v>
      </c>
    </row>
    <row r="21" spans="2:242">
      <c r="B21" s="66" t="s">
        <v>15</v>
      </c>
      <c r="C21" s="67">
        <v>-234.4</v>
      </c>
      <c r="D21" s="67">
        <v>-306</v>
      </c>
      <c r="E21" s="67">
        <v>-351.6</v>
      </c>
      <c r="F21" s="67">
        <v>-191.7</v>
      </c>
      <c r="G21" s="67">
        <v>-551.5</v>
      </c>
      <c r="H21" s="67">
        <v>-1021.4</v>
      </c>
      <c r="I21" s="67">
        <v>-969.9</v>
      </c>
      <c r="J21" s="67">
        <v>-1435.8</v>
      </c>
      <c r="K21" s="67">
        <v>-1680.6</v>
      </c>
      <c r="L21" s="67">
        <v>-2013.4</v>
      </c>
      <c r="M21" s="67">
        <f t="shared" ref="M21:Q21" si="101">M20*-0.15</f>
        <v>-2090.0208000000002</v>
      </c>
      <c r="N21" s="67">
        <f t="shared" si="101"/>
        <v>-2575.5977947499991</v>
      </c>
      <c r="O21" s="67">
        <f t="shared" si="101"/>
        <v>-3172.7104277137487</v>
      </c>
      <c r="P21" s="67">
        <f t="shared" si="101"/>
        <v>-3906.8724950701294</v>
      </c>
      <c r="Q21" s="67">
        <f t="shared" si="101"/>
        <v>-4809.4247975761973</v>
      </c>
      <c r="R21" s="67">
        <f t="shared" ref="R21" si="102">R20*-0.15</f>
        <v>-5918.8645680070558</v>
      </c>
      <c r="S21" s="67">
        <f t="shared" ref="S21" si="103">S20*-0.15</f>
        <v>-7282.4778391378668</v>
      </c>
      <c r="T21" s="67">
        <f t="shared" ref="T21" si="104">T20*-0.15</f>
        <v>-8958.3436770291482</v>
      </c>
      <c r="U21" s="67">
        <f t="shared" ref="U21" si="105">U20*-0.15</f>
        <v>-11017.794857192883</v>
      </c>
      <c r="V21" s="67">
        <f t="shared" ref="V21" si="106">V20*-0.15</f>
        <v>-13548.438761621272</v>
      </c>
    </row>
    <row r="22" spans="2:242">
      <c r="B22" s="9" t="s">
        <v>22</v>
      </c>
      <c r="C22" s="59">
        <f t="shared" ref="C22" si="107">SUM(C20:C21)</f>
        <v>1557.7999999999993</v>
      </c>
      <c r="D22" s="59">
        <f t="shared" ref="D22" si="108">SUM(D20:D21)</f>
        <v>2083.4000000000005</v>
      </c>
      <c r="E22" s="59">
        <f t="shared" ref="E22" si="109">SUM(E20:E21)</f>
        <v>2585.4000000000005</v>
      </c>
      <c r="F22" s="59">
        <f t="shared" ref="F22" si="110">SUM(F20:F21)</f>
        <v>2574.1000000000004</v>
      </c>
      <c r="G22" s="59">
        <f t="shared" ref="G22" si="111">SUM(G20:G21)</f>
        <v>3465.0999999999995</v>
      </c>
      <c r="H22" s="59">
        <f t="shared" ref="H22" si="112">SUM(H20:H21)</f>
        <v>5684.1</v>
      </c>
      <c r="I22" s="59">
        <f>SUM(I20:I21)</f>
        <v>5486.2000000000025</v>
      </c>
      <c r="J22" s="59">
        <f>SUM(J20:J21)</f>
        <v>7647.7</v>
      </c>
      <c r="K22" s="59">
        <f t="shared" ref="K22:L22" si="113">SUM(K20:K21)</f>
        <v>7361.8000000000011</v>
      </c>
      <c r="L22" s="59">
        <f t="shared" si="113"/>
        <v>9392.7000000000007</v>
      </c>
      <c r="M22" s="59">
        <f t="shared" ref="M22" si="114">SUM(M20:M21)</f>
        <v>11843.451200000001</v>
      </c>
      <c r="N22" s="59">
        <f t="shared" ref="N22" si="115">SUM(N20:N21)</f>
        <v>14595.054170249994</v>
      </c>
      <c r="O22" s="59">
        <f t="shared" ref="O22" si="116">SUM(O20:O21)</f>
        <v>17978.692423711243</v>
      </c>
      <c r="P22" s="59">
        <f t="shared" ref="P22" si="117">SUM(P20:P21)</f>
        <v>22138.944138730734</v>
      </c>
      <c r="Q22" s="59">
        <f t="shared" ref="Q22" si="118">SUM(Q20:Q21)</f>
        <v>27253.407186265118</v>
      </c>
      <c r="R22" s="59">
        <f t="shared" ref="R22" si="119">SUM(R20:R21)</f>
        <v>33540.232552039983</v>
      </c>
      <c r="S22" s="59">
        <f t="shared" ref="S22" si="120">SUM(S20:S21)</f>
        <v>41267.374421781249</v>
      </c>
      <c r="T22" s="59">
        <f t="shared" ref="T22" si="121">SUM(T20:T21)</f>
        <v>50763.947503165167</v>
      </c>
      <c r="U22" s="59">
        <f t="shared" ref="U22" si="122">SUM(U20:U21)</f>
        <v>62434.170857426332</v>
      </c>
      <c r="V22" s="59">
        <f t="shared" ref="V22" si="123">SUM(V20:V21)</f>
        <v>76774.486315853865</v>
      </c>
    </row>
    <row r="23" spans="2:242">
      <c r="B23" s="66" t="s">
        <v>21</v>
      </c>
      <c r="C23" s="67">
        <v>0</v>
      </c>
      <c r="D23" s="67">
        <v>-16.7</v>
      </c>
      <c r="E23" s="67">
        <v>6.2</v>
      </c>
      <c r="F23" s="67">
        <v>18.2</v>
      </c>
      <c r="G23" s="67">
        <v>88.6</v>
      </c>
      <c r="H23" s="67">
        <v>199.1</v>
      </c>
      <c r="I23" s="67">
        <v>138</v>
      </c>
      <c r="J23" s="67">
        <v>191.3</v>
      </c>
      <c r="K23" s="67">
        <v>209.8</v>
      </c>
      <c r="L23" s="67">
        <v>216.7</v>
      </c>
      <c r="M23" s="67">
        <f t="shared" ref="M23:Q23" si="124">L23*1.03</f>
        <v>223.20099999999999</v>
      </c>
      <c r="N23" s="67">
        <f t="shared" si="124"/>
        <v>229.89703</v>
      </c>
      <c r="O23" s="67">
        <f t="shared" si="124"/>
        <v>236.7939409</v>
      </c>
      <c r="P23" s="67">
        <f t="shared" si="124"/>
        <v>243.897759127</v>
      </c>
      <c r="Q23" s="67">
        <f t="shared" si="124"/>
        <v>251.21469190081001</v>
      </c>
      <c r="R23" s="67">
        <f t="shared" ref="R23:V23" si="125">Q23*1.03</f>
        <v>258.75113265783432</v>
      </c>
      <c r="S23" s="67">
        <f t="shared" si="125"/>
        <v>266.51366663756937</v>
      </c>
      <c r="T23" s="67">
        <f t="shared" si="125"/>
        <v>274.50907663669648</v>
      </c>
      <c r="U23" s="67">
        <f t="shared" si="125"/>
        <v>282.7443489357974</v>
      </c>
      <c r="V23" s="67">
        <f t="shared" si="125"/>
        <v>291.22667940387134</v>
      </c>
    </row>
    <row r="24" spans="2:242">
      <c r="B24" s="10" t="s">
        <v>16</v>
      </c>
      <c r="C24" s="60">
        <f t="shared" ref="C24" si="126">SUM(C22:C23)</f>
        <v>1557.7999999999993</v>
      </c>
      <c r="D24" s="60">
        <f t="shared" ref="D24" si="127">SUM(D22:D23)</f>
        <v>2066.7000000000007</v>
      </c>
      <c r="E24" s="60">
        <f>SUM(E22:E23)</f>
        <v>2591.6000000000004</v>
      </c>
      <c r="F24" s="60">
        <f t="shared" ref="F24" si="128">SUM(F22:F23)</f>
        <v>2592.3000000000002</v>
      </c>
      <c r="G24" s="60">
        <f t="shared" ref="G24" si="129">SUM(G22:G23)</f>
        <v>3553.6999999999994</v>
      </c>
      <c r="H24" s="60">
        <f>SUM(H22:H23)</f>
        <v>5883.2000000000007</v>
      </c>
      <c r="I24" s="60">
        <f>SUM(I22:I23)</f>
        <v>5624.2000000000025</v>
      </c>
      <c r="J24" s="60">
        <f>SUM(J22:J23)</f>
        <v>7839</v>
      </c>
      <c r="K24" s="60">
        <f t="shared" ref="K24:L24" si="130">SUM(K22:K23)</f>
        <v>7571.6000000000013</v>
      </c>
      <c r="L24" s="60">
        <f t="shared" si="130"/>
        <v>9609.4000000000015</v>
      </c>
      <c r="M24" s="60">
        <f t="shared" ref="M24" si="131">SUM(M22:M23)</f>
        <v>12066.6522</v>
      </c>
      <c r="N24" s="60">
        <f t="shared" ref="N24" si="132">SUM(N22:N23)</f>
        <v>14824.951200249994</v>
      </c>
      <c r="O24" s="60">
        <f t="shared" ref="O24" si="133">SUM(O22:O23)</f>
        <v>18215.486364611243</v>
      </c>
      <c r="P24" s="60">
        <f t="shared" ref="P24" si="134">SUM(P22:P23)</f>
        <v>22382.841897857736</v>
      </c>
      <c r="Q24" s="60">
        <f t="shared" ref="Q24" si="135">SUM(Q22:Q23)</f>
        <v>27504.621878165926</v>
      </c>
      <c r="R24" s="60">
        <f t="shared" ref="R24" si="136">SUM(R22:R23)</f>
        <v>33798.983684697814</v>
      </c>
      <c r="S24" s="60">
        <f t="shared" ref="S24" si="137">SUM(S22:S23)</f>
        <v>41533.888088418818</v>
      </c>
      <c r="T24" s="60">
        <f t="shared" ref="T24" si="138">SUM(T22:T23)</f>
        <v>51038.456579801867</v>
      </c>
      <c r="U24" s="60">
        <f t="shared" ref="U24" si="139">SUM(U22:U23)</f>
        <v>62716.91520636213</v>
      </c>
      <c r="V24" s="60">
        <f t="shared" ref="V24" si="140">SUM(V22:V23)</f>
        <v>77065.712995257738</v>
      </c>
      <c r="W24" s="62">
        <f>V24*(1+$X$133)</f>
        <v>77836.37012521032</v>
      </c>
      <c r="X24" s="62">
        <f>W24*(1+$X$133)</f>
        <v>78614.733826462427</v>
      </c>
      <c r="Y24" s="62">
        <f>X24*(1+$X$133)</f>
        <v>79400.881164727049</v>
      </c>
      <c r="Z24" s="62">
        <f>Y24*(1+$X$133)</f>
        <v>80194.889976374325</v>
      </c>
      <c r="AA24" s="62">
        <f>Z24*(1+$X$133)</f>
        <v>80996.838876138063</v>
      </c>
      <c r="AB24" s="62">
        <f>AA24*(1+$X$133)</f>
        <v>81806.807264899442</v>
      </c>
      <c r="AC24" s="62">
        <f>AB24*(1+$X$133)</f>
        <v>82624.875337548438</v>
      </c>
      <c r="AD24" s="62">
        <f>AC24*(1+$X$133)</f>
        <v>83451.124090923928</v>
      </c>
      <c r="AE24" s="62">
        <f>AD24*(1+$X$133)</f>
        <v>84285.635331833168</v>
      </c>
      <c r="AF24" s="62">
        <f>AE24*(1+$X$133)</f>
        <v>85128.491685151501</v>
      </c>
      <c r="AG24" s="62">
        <f>AF24*(1+$X$133)</f>
        <v>85979.77660200301</v>
      </c>
      <c r="AH24" s="62">
        <f>AG24*(1+$X$133)</f>
        <v>86839.574368023037</v>
      </c>
      <c r="AI24" s="62">
        <f>AH24*(1+$X$133)</f>
        <v>87707.970111703267</v>
      </c>
      <c r="AJ24" s="62">
        <f>AI24*(1+$X$133)</f>
        <v>88585.049812820303</v>
      </c>
      <c r="AK24" s="62">
        <f>AJ24*(1+$X$133)</f>
        <v>89470.900310948506</v>
      </c>
      <c r="AL24" s="62">
        <f>AK24*(1+$X$133)</f>
        <v>90365.609314057991</v>
      </c>
      <c r="AM24" s="62">
        <f>AL24*(1+$X$133)</f>
        <v>91269.265407198574</v>
      </c>
      <c r="AN24" s="62">
        <f>AM24*(1+$X$133)</f>
        <v>92181.958061270561</v>
      </c>
      <c r="AO24" s="62">
        <f>AN24*(1+$X$133)</f>
        <v>93103.777641883265</v>
      </c>
      <c r="AP24" s="62">
        <f>AO24*(1+$X$133)</f>
        <v>94034.815418302096</v>
      </c>
      <c r="AQ24" s="62">
        <f>AP24*(1+$X$133)</f>
        <v>94975.163572485122</v>
      </c>
      <c r="AR24" s="62">
        <f>AQ24*(1+$X$133)</f>
        <v>95924.915208209975</v>
      </c>
      <c r="AS24" s="62">
        <f>AR24*(1+$X$133)</f>
        <v>96884.164360292081</v>
      </c>
      <c r="AT24" s="62">
        <f>AS24*(1+$X$133)</f>
        <v>97853.006003895003</v>
      </c>
      <c r="AU24" s="62">
        <f>AT24*(1+$X$133)</f>
        <v>98831.536063933949</v>
      </c>
      <c r="AV24" s="62">
        <f>AU24*(1+$X$133)</f>
        <v>99819.851424573295</v>
      </c>
      <c r="AW24" s="62">
        <f>AV24*(1+$X$133)</f>
        <v>100818.04993881902</v>
      </c>
      <c r="AX24" s="62">
        <f>AW24*(1+$X$133)</f>
        <v>101826.23043820722</v>
      </c>
      <c r="AY24" s="62">
        <f>AX24*(1+$X$133)</f>
        <v>102844.4927425893</v>
      </c>
      <c r="AZ24" s="62">
        <f>AY24*(1+$X$133)</f>
        <v>103872.93767001519</v>
      </c>
      <c r="BA24" s="62">
        <f>AZ24*(1+$X$133)</f>
        <v>104911.66704671535</v>
      </c>
      <c r="BB24" s="62">
        <f>BA24*(1+$X$133)</f>
        <v>105960.78371718249</v>
      </c>
      <c r="BC24" s="62">
        <f>BB24*(1+$X$133)</f>
        <v>107020.39155435433</v>
      </c>
      <c r="BD24" s="62">
        <f>BC24*(1+$X$133)</f>
        <v>108090.59546989787</v>
      </c>
      <c r="BE24" s="62">
        <f>BD24*(1+$X$133)</f>
        <v>109171.50142459685</v>
      </c>
      <c r="BF24" s="62">
        <f>BE24*(1+$X$133)</f>
        <v>110263.21643884282</v>
      </c>
      <c r="BG24" s="62">
        <f>BF24*(1+$X$133)</f>
        <v>111365.84860323125</v>
      </c>
      <c r="BH24" s="62">
        <f>BG24*(1+$X$133)</f>
        <v>112479.50708926357</v>
      </c>
      <c r="BI24" s="62">
        <f>BH24*(1+$X$133)</f>
        <v>113604.30216015621</v>
      </c>
      <c r="BJ24" s="62">
        <f>BI24*(1+$X$133)</f>
        <v>114740.34518175777</v>
      </c>
      <c r="BK24" s="62">
        <f>BJ24*(1+$X$133)</f>
        <v>115887.74863357535</v>
      </c>
      <c r="BL24" s="62">
        <f>BK24*(1+$X$133)</f>
        <v>117046.6261199111</v>
      </c>
      <c r="BM24" s="62">
        <f>BL24*(1+$X$133)</f>
        <v>118217.09238111021</v>
      </c>
      <c r="BN24" s="62">
        <f>BM24*(1+$X$133)</f>
        <v>119399.26330492132</v>
      </c>
      <c r="BO24" s="62">
        <f>BN24*(1+$X$133)</f>
        <v>120593.25593797053</v>
      </c>
      <c r="BP24" s="62">
        <f>BO24*(1+$X$133)</f>
        <v>121799.18849735025</v>
      </c>
      <c r="BQ24" s="62">
        <f>BP24*(1+$X$133)</f>
        <v>123017.18038232374</v>
      </c>
      <c r="BR24" s="62">
        <f>BQ24*(1+$X$133)</f>
        <v>124247.35218614698</v>
      </c>
      <c r="BS24" s="62">
        <f>BR24*(1+$X$133)</f>
        <v>125489.82570800844</v>
      </c>
      <c r="BT24" s="62">
        <f>BS24*(1+$X$133)</f>
        <v>126744.72396508853</v>
      </c>
      <c r="BU24" s="62">
        <f>BT24*(1+$X$133)</f>
        <v>128012.17120473942</v>
      </c>
      <c r="BV24" s="62">
        <f>BU24*(1+$X$133)</f>
        <v>129292.29291678681</v>
      </c>
      <c r="BW24" s="62">
        <f>BV24*(1+$X$133)</f>
        <v>130585.21584595468</v>
      </c>
      <c r="BX24" s="62">
        <f>BW24*(1+$X$133)</f>
        <v>131891.06800441424</v>
      </c>
      <c r="BY24" s="62">
        <f>BX24*(1+$X$133)</f>
        <v>133209.97868445839</v>
      </c>
      <c r="BZ24" s="62">
        <f>BY24*(1+$X$133)</f>
        <v>134542.07847130299</v>
      </c>
      <c r="CA24" s="62">
        <f>BZ24*(1+$X$133)</f>
        <v>135887.49925601602</v>
      </c>
      <c r="CB24" s="62">
        <f>CA24*(1+$X$133)</f>
        <v>137246.37424857618</v>
      </c>
      <c r="CC24" s="62">
        <f>CB24*(1+$X$133)</f>
        <v>138618.83799106194</v>
      </c>
      <c r="CD24" s="62">
        <f>CC24*(1+$X$133)</f>
        <v>140005.02637097257</v>
      </c>
      <c r="CE24" s="62">
        <f>CD24*(1+$X$133)</f>
        <v>141405.07663468231</v>
      </c>
      <c r="CF24" s="62">
        <f>CE24*(1+$X$133)</f>
        <v>142819.12740102914</v>
      </c>
      <c r="CG24" s="62">
        <f>CF24*(1+$X$133)</f>
        <v>144247.31867503942</v>
      </c>
      <c r="CH24" s="62">
        <f>CG24*(1+$X$133)</f>
        <v>145689.79186178982</v>
      </c>
      <c r="CI24" s="62">
        <f>CH24*(1+$X$133)</f>
        <v>147146.68978040773</v>
      </c>
      <c r="CJ24" s="62">
        <f>CI24*(1+$X$133)</f>
        <v>148618.15667821182</v>
      </c>
      <c r="CK24" s="62">
        <f>CJ24*(1+$X$133)</f>
        <v>150104.33824499394</v>
      </c>
      <c r="CL24" s="62">
        <f>CK24*(1+$X$133)</f>
        <v>151605.38162744389</v>
      </c>
      <c r="CM24" s="62">
        <f>CL24*(1+$X$133)</f>
        <v>153121.43544371834</v>
      </c>
      <c r="CN24" s="62">
        <f>CM24*(1+$X$133)</f>
        <v>154652.64979815553</v>
      </c>
      <c r="CO24" s="62">
        <f>CN24*(1+$X$133)</f>
        <v>156199.1762961371</v>
      </c>
      <c r="CP24" s="62">
        <f>CO24*(1+$X$133)</f>
        <v>157761.16805909848</v>
      </c>
      <c r="CQ24" s="62">
        <f>CP24*(1+$X$133)</f>
        <v>159338.77973968946</v>
      </c>
      <c r="CR24" s="62">
        <f>CQ24*(1+$X$133)</f>
        <v>160932.16753708635</v>
      </c>
      <c r="CS24" s="62">
        <f>CR24*(1+$X$133)</f>
        <v>162541.48921245721</v>
      </c>
      <c r="CT24" s="62">
        <f>CS24*(1+$X$133)</f>
        <v>164166.90410458177</v>
      </c>
      <c r="CU24" s="62">
        <f>CT24*(1+$X$133)</f>
        <v>165808.5731456276</v>
      </c>
      <c r="CV24" s="62">
        <f>CU24*(1+$X$133)</f>
        <v>167466.65887708389</v>
      </c>
      <c r="CW24" s="62">
        <f>CV24*(1+$X$133)</f>
        <v>169141.32546585472</v>
      </c>
      <c r="CX24" s="62">
        <f>CW24*(1+$X$133)</f>
        <v>170832.73872051327</v>
      </c>
      <c r="CY24" s="62">
        <f>CX24*(1+$X$133)</f>
        <v>172541.06610771839</v>
      </c>
      <c r="CZ24" s="62">
        <f>CY24*(1+$X$133)</f>
        <v>174266.47676879558</v>
      </c>
      <c r="DA24" s="62">
        <f>CZ24*(1+$X$133)</f>
        <v>176009.14153648354</v>
      </c>
      <c r="DB24" s="62">
        <f>DA24*(1+$X$133)</f>
        <v>177769.23295184839</v>
      </c>
      <c r="DC24" s="62">
        <f>DB24*(1+$X$133)</f>
        <v>179546.92528136689</v>
      </c>
      <c r="DD24" s="62">
        <f>DC24*(1+$X$133)</f>
        <v>181342.39453418055</v>
      </c>
      <c r="DE24" s="62">
        <f>DD24*(1+$X$133)</f>
        <v>183155.81847952236</v>
      </c>
      <c r="DF24" s="62">
        <f>DE24*(1+$X$133)</f>
        <v>184987.37666431759</v>
      </c>
      <c r="DG24" s="62">
        <f>DF24*(1+$X$133)</f>
        <v>186837.25043096076</v>
      </c>
      <c r="DH24" s="62">
        <f>DG24*(1+$X$133)</f>
        <v>188705.62293527037</v>
      </c>
      <c r="DI24" s="62">
        <f>DH24*(1+$X$133)</f>
        <v>190592.67916462308</v>
      </c>
      <c r="DJ24" s="62">
        <f>DI24*(1+$X$133)</f>
        <v>192498.60595626931</v>
      </c>
      <c r="DK24" s="62">
        <f>DJ24*(1+$X$133)</f>
        <v>194423.59201583199</v>
      </c>
      <c r="DL24" s="62">
        <f>DK24*(1+$X$133)</f>
        <v>196367.82793599032</v>
      </c>
      <c r="DM24" s="62">
        <f>DL24*(1+$X$133)</f>
        <v>198331.50621535024</v>
      </c>
      <c r="DN24" s="62">
        <f>DM24*(1+$X$133)</f>
        <v>200314.82127750374</v>
      </c>
      <c r="DO24" s="62">
        <f>DN24*(1+$X$133)</f>
        <v>202317.96949027877</v>
      </c>
      <c r="DP24" s="62">
        <f>DO24*(1+$X$133)</f>
        <v>204341.14918518157</v>
      </c>
      <c r="DQ24" s="62">
        <f>DP24*(1+$X$133)</f>
        <v>206384.56067703338</v>
      </c>
      <c r="DR24" s="62">
        <f>DQ24*(1+$X$133)</f>
        <v>208448.40628380372</v>
      </c>
      <c r="DS24" s="62">
        <f>DR24*(1+$X$133)</f>
        <v>210532.89034664177</v>
      </c>
      <c r="DT24" s="62">
        <f>DS24*(1+$X$133)</f>
        <v>212638.2192501082</v>
      </c>
      <c r="DU24" s="62">
        <f>DT24*(1+$X$133)</f>
        <v>214764.60144260927</v>
      </c>
      <c r="DV24" s="62">
        <f>DU24*(1+$X$133)</f>
        <v>216912.24745703538</v>
      </c>
      <c r="DW24" s="62">
        <f>DV24*(1+$X$133)</f>
        <v>219081.36993160573</v>
      </c>
      <c r="DX24" s="62">
        <f>DW24*(1+$X$133)</f>
        <v>221272.18363092179</v>
      </c>
      <c r="DY24" s="62">
        <f>DX24*(1+$X$133)</f>
        <v>223484.905467231</v>
      </c>
      <c r="DZ24" s="62">
        <f>DY24*(1+$X$133)</f>
        <v>225719.75452190332</v>
      </c>
      <c r="EA24" s="62">
        <f>DZ24*(1+$X$133)</f>
        <v>227976.95206712236</v>
      </c>
      <c r="EB24" s="62">
        <f>EA24*(1+$X$133)</f>
        <v>230256.72158779358</v>
      </c>
      <c r="EC24" s="62">
        <f>EB24*(1+$X$133)</f>
        <v>232559.28880367152</v>
      </c>
      <c r="ED24" s="62">
        <f>EC24*(1+$X$133)</f>
        <v>234884.88169170823</v>
      </c>
      <c r="EE24" s="62">
        <f>ED24*(1+$X$133)</f>
        <v>237233.7305086253</v>
      </c>
      <c r="EF24" s="62">
        <f>EE24*(1+$X$133)</f>
        <v>239606.06781371156</v>
      </c>
      <c r="EG24" s="62">
        <f>EF24*(1+$X$133)</f>
        <v>242002.12849184868</v>
      </c>
      <c r="EH24" s="62">
        <f>EG24*(1+$X$133)</f>
        <v>244422.14977676715</v>
      </c>
      <c r="EI24" s="62">
        <f>EH24*(1+$X$133)</f>
        <v>246866.37127453482</v>
      </c>
      <c r="EJ24" s="62">
        <f>EI24*(1+$X$133)</f>
        <v>249335.03498728017</v>
      </c>
      <c r="EK24" s="62">
        <f>EJ24*(1+$X$133)</f>
        <v>251828.38533715298</v>
      </c>
      <c r="EL24" s="62">
        <f>EK24*(1+$X$133)</f>
        <v>254346.66919052452</v>
      </c>
      <c r="EM24" s="62">
        <f>EL24*(1+$X$133)</f>
        <v>256890.13588242978</v>
      </c>
      <c r="EN24" s="62">
        <f>EM24*(1+$X$133)</f>
        <v>259459.03724125409</v>
      </c>
      <c r="EO24" s="62">
        <f>EN24*(1+$X$133)</f>
        <v>262053.62761366664</v>
      </c>
      <c r="EP24" s="62">
        <f>EO24*(1+$X$133)</f>
        <v>264674.16388980328</v>
      </c>
      <c r="EQ24" s="62">
        <f>EP24*(1+$X$133)</f>
        <v>267320.90552870132</v>
      </c>
      <c r="ER24" s="62">
        <f>EQ24*(1+$X$133)</f>
        <v>269994.11458398832</v>
      </c>
      <c r="ES24" s="62">
        <f>ER24*(1+$X$133)</f>
        <v>272694.05572982819</v>
      </c>
      <c r="ET24" s="62">
        <f>ES24*(1+$X$133)</f>
        <v>275420.9962871265</v>
      </c>
      <c r="EU24" s="62">
        <f>ET24*(1+$X$133)</f>
        <v>278175.20624999778</v>
      </c>
      <c r="EV24" s="62">
        <f>EU24*(1+$X$133)</f>
        <v>280956.95831249777</v>
      </c>
      <c r="EW24" s="62">
        <f>EV24*(1+$X$133)</f>
        <v>283766.52789562277</v>
      </c>
      <c r="EX24" s="62">
        <f>EW24*(1+$X$133)</f>
        <v>286604.19317457901</v>
      </c>
      <c r="EY24" s="62">
        <f>EX24*(1+$X$133)</f>
        <v>289470.23510632478</v>
      </c>
      <c r="EZ24" s="62">
        <f>EY24*(1+$X$133)</f>
        <v>292364.93745738803</v>
      </c>
      <c r="FA24" s="62">
        <f>EZ24*(1+$X$133)</f>
        <v>295288.58683196193</v>
      </c>
      <c r="FB24" s="62">
        <f>FA24*(1+$X$133)</f>
        <v>298241.47270028153</v>
      </c>
      <c r="FC24" s="62">
        <f>FB24*(1+$X$133)</f>
        <v>301223.88742728432</v>
      </c>
      <c r="FD24" s="62">
        <f>FC24*(1+$X$133)</f>
        <v>304236.12630155717</v>
      </c>
      <c r="FE24" s="62">
        <f>FD24*(1+$X$133)</f>
        <v>307278.48756457277</v>
      </c>
      <c r="FF24" s="62">
        <f>FE24*(1+$X$133)</f>
        <v>310351.27244021848</v>
      </c>
      <c r="FG24" s="62">
        <f>FF24*(1+$X$133)</f>
        <v>313454.78516462067</v>
      </c>
      <c r="FH24" s="62">
        <f>FG24*(1+$X$133)</f>
        <v>316589.33301626687</v>
      </c>
      <c r="FI24" s="62">
        <f>FH24*(1+$X$133)</f>
        <v>319755.22634642955</v>
      </c>
      <c r="FJ24" s="62">
        <f>FI24*(1+$X$133)</f>
        <v>322952.77860989387</v>
      </c>
      <c r="FK24" s="62">
        <f>FJ24*(1+$X$133)</f>
        <v>326182.30639599281</v>
      </c>
      <c r="FL24" s="62">
        <f>FK24*(1+$X$133)</f>
        <v>329444.12945995276</v>
      </c>
      <c r="FM24" s="62">
        <f>FL24*(1+$X$133)</f>
        <v>332738.57075455232</v>
      </c>
      <c r="FN24" s="62">
        <f>FM24*(1+$X$133)</f>
        <v>336065.95646209782</v>
      </c>
      <c r="FO24" s="62">
        <f>FN24*(1+$X$133)</f>
        <v>339426.61602671881</v>
      </c>
      <c r="FP24" s="62">
        <f>FO24*(1+$X$133)</f>
        <v>342820.88218698598</v>
      </c>
      <c r="FQ24" s="62">
        <f>FP24*(1+$X$133)</f>
        <v>346249.09100885584</v>
      </c>
      <c r="FR24" s="62">
        <f>FQ24*(1+$X$133)</f>
        <v>349711.58191894443</v>
      </c>
      <c r="FS24" s="62">
        <f>FR24*(1+$X$133)</f>
        <v>353208.69773813389</v>
      </c>
      <c r="FT24" s="62">
        <f>FS24*(1+$X$133)</f>
        <v>356740.78471551521</v>
      </c>
      <c r="FU24" s="62">
        <f>FT24*(1+$X$133)</f>
        <v>360308.19256267039</v>
      </c>
      <c r="FV24" s="62">
        <f>FU24*(1+$X$133)</f>
        <v>363911.27448829712</v>
      </c>
      <c r="FW24" s="62">
        <f>FV24*(1+$X$133)</f>
        <v>367550.38723318011</v>
      </c>
      <c r="FX24" s="62">
        <f>FW24*(1+$X$133)</f>
        <v>371225.89110551192</v>
      </c>
      <c r="FY24" s="62">
        <f>FX24*(1+$X$133)</f>
        <v>374938.15001656703</v>
      </c>
      <c r="FZ24" s="62">
        <f>FY24*(1+$X$133)</f>
        <v>378687.53151673271</v>
      </c>
      <c r="GA24" s="62">
        <f>FZ24*(1+$X$133)</f>
        <v>382474.40683190007</v>
      </c>
      <c r="GB24" s="62">
        <f>GA24*(1+$X$133)</f>
        <v>386299.15090021904</v>
      </c>
      <c r="GC24" s="62">
        <f>GB24*(1+$X$133)</f>
        <v>390162.14240922121</v>
      </c>
      <c r="GD24" s="62">
        <f>GC24*(1+$X$133)</f>
        <v>394063.76383331342</v>
      </c>
      <c r="GE24" s="62">
        <f>GD24*(1+$X$133)</f>
        <v>398004.40147164656</v>
      </c>
      <c r="GF24" s="62">
        <f>GE24*(1+$X$133)</f>
        <v>401984.44548636302</v>
      </c>
      <c r="GG24" s="62">
        <f>GF24*(1+$X$133)</f>
        <v>406004.28994122666</v>
      </c>
      <c r="GH24" s="62">
        <f>GG24*(1+$X$133)</f>
        <v>410064.33284063893</v>
      </c>
      <c r="GI24" s="62">
        <f>GH24*(1+$X$133)</f>
        <v>414164.97616904532</v>
      </c>
      <c r="GJ24" s="62">
        <f>GI24*(1+$X$133)</f>
        <v>418306.62593073578</v>
      </c>
      <c r="GK24" s="62">
        <f>GJ24*(1+$X$133)</f>
        <v>422489.69219004316</v>
      </c>
      <c r="GL24" s="62">
        <f>GK24*(1+$X$133)</f>
        <v>426714.58911194361</v>
      </c>
      <c r="GM24" s="62">
        <f>GL24*(1+$X$133)</f>
        <v>430981.73500306305</v>
      </c>
      <c r="GN24" s="62">
        <f>GM24*(1+$X$133)</f>
        <v>435291.55235309369</v>
      </c>
      <c r="GO24" s="62">
        <f>GN24*(1+$X$133)</f>
        <v>439644.46787662461</v>
      </c>
      <c r="GP24" s="62">
        <f>GO24*(1+$X$133)</f>
        <v>444040.91255539085</v>
      </c>
      <c r="GQ24" s="62">
        <f>GP24*(1+$X$133)</f>
        <v>448481.32168094476</v>
      </c>
      <c r="GR24" s="62">
        <f>GQ24*(1+$X$133)</f>
        <v>452966.13489775424</v>
      </c>
      <c r="GS24" s="62">
        <f>GR24*(1+$X$133)</f>
        <v>457495.79624673177</v>
      </c>
      <c r="GT24" s="62">
        <f>GS24*(1+$X$133)</f>
        <v>462070.75420919911</v>
      </c>
      <c r="GU24" s="62">
        <f>GT24*(1+$X$133)</f>
        <v>466691.46175129112</v>
      </c>
      <c r="GV24" s="62">
        <f>GU24*(1+$X$133)</f>
        <v>471358.37636880402</v>
      </c>
      <c r="GW24" s="62">
        <f>GV24*(1+$X$133)</f>
        <v>476071.96013249207</v>
      </c>
      <c r="GX24" s="62">
        <f>GW24*(1+$X$133)</f>
        <v>480832.679733817</v>
      </c>
      <c r="GY24" s="62">
        <f>GX24*(1+$X$133)</f>
        <v>485641.0065311552</v>
      </c>
      <c r="GZ24" s="62">
        <f>GY24*(1+$X$133)</f>
        <v>490497.41659646673</v>
      </c>
      <c r="HA24" s="62">
        <f>GZ24*(1+$X$133)</f>
        <v>495402.39076243143</v>
      </c>
      <c r="HB24" s="62">
        <f>HA24*(1+$X$133)</f>
        <v>500356.41467005573</v>
      </c>
      <c r="HC24" s="62">
        <f>HB24*(1+$X$133)</f>
        <v>505359.97881675628</v>
      </c>
      <c r="HD24" s="62">
        <f>HC24*(1+$X$133)</f>
        <v>510413.57860492385</v>
      </c>
      <c r="HE24" s="62">
        <f>HD24*(1+$X$133)</f>
        <v>515517.71439097309</v>
      </c>
      <c r="HF24" s="62">
        <f>HE24*(1+$X$133)</f>
        <v>520672.89153488283</v>
      </c>
      <c r="HG24" s="62">
        <f>HF24*(1+$X$133)</f>
        <v>525879.62045023171</v>
      </c>
      <c r="HH24" s="62">
        <f>HG24*(1+$X$133)</f>
        <v>531138.41665473406</v>
      </c>
      <c r="HI24" s="62">
        <f>HH24*(1+$X$133)</f>
        <v>536449.80082128139</v>
      </c>
      <c r="HJ24" s="62">
        <f>HI24*(1+$X$133)</f>
        <v>541814.29882949416</v>
      </c>
      <c r="HK24" s="62">
        <f>HJ24*(1+$X$133)</f>
        <v>547232.44181778911</v>
      </c>
      <c r="HL24" s="62">
        <f>HK24*(1+$X$133)</f>
        <v>552704.76623596705</v>
      </c>
      <c r="HM24" s="62">
        <f>HL24*(1+$X$133)</f>
        <v>558231.81389832671</v>
      </c>
      <c r="HN24" s="62">
        <f>HM24*(1+$X$133)</f>
        <v>563814.13203730993</v>
      </c>
      <c r="HO24" s="62">
        <f>HN24*(1+$X$133)</f>
        <v>569452.27335768298</v>
      </c>
      <c r="HP24" s="62">
        <f>HO24*(1+$X$133)</f>
        <v>575146.79609125981</v>
      </c>
      <c r="HQ24" s="62">
        <f>HP24*(1+$X$133)</f>
        <v>580898.26405217242</v>
      </c>
      <c r="HR24" s="62">
        <f>HQ24*(1+$X$133)</f>
        <v>586707.24669269414</v>
      </c>
      <c r="HS24" s="62">
        <f>HR24*(1+$X$133)</f>
        <v>592574.31915962114</v>
      </c>
      <c r="HT24" s="62">
        <f>HS24*(1+$X$133)</f>
        <v>598500.06235121738</v>
      </c>
      <c r="HU24" s="62">
        <f>HT24*(1+$X$133)</f>
        <v>604485.06297472958</v>
      </c>
      <c r="HV24" s="62">
        <f>HU24*(1+$X$133)</f>
        <v>610529.91360447684</v>
      </c>
      <c r="HW24" s="62">
        <f>HV24*(1+$X$133)</f>
        <v>616635.21274052165</v>
      </c>
      <c r="HX24" s="62">
        <f>HW24*(1+$X$133)</f>
        <v>622801.56486792688</v>
      </c>
      <c r="HY24" s="62">
        <f>HX24*(1+$X$133)</f>
        <v>629029.5805166061</v>
      </c>
      <c r="HZ24" s="62">
        <f>HY24*(1+$X$133)</f>
        <v>635319.87632177211</v>
      </c>
      <c r="IA24" s="62">
        <f>HZ24*(1+$X$133)</f>
        <v>641673.07508498989</v>
      </c>
      <c r="IB24" s="62">
        <f>IA24*(1+$X$133)</f>
        <v>648089.80583583983</v>
      </c>
      <c r="IC24" s="62">
        <f>IB24*(1+$X$133)</f>
        <v>654570.70389419817</v>
      </c>
      <c r="ID24" s="62">
        <f>IC24*(1+$X$133)</f>
        <v>661116.4109331402</v>
      </c>
      <c r="IE24" s="62">
        <f>ID24*(1+$X$133)</f>
        <v>667727.57504247164</v>
      </c>
      <c r="IF24" s="62">
        <f>IE24*(1+$X$133)</f>
        <v>674404.85079289635</v>
      </c>
      <c r="IG24" s="62">
        <f>IF24*(1+$X$133)</f>
        <v>681148.89930082532</v>
      </c>
      <c r="IH24" s="63">
        <f>IG24*(1+$X$133)</f>
        <v>687960.38829383359</v>
      </c>
    </row>
    <row r="26" spans="2:242">
      <c r="B26" s="64" t="s">
        <v>175</v>
      </c>
    </row>
    <row r="28" spans="2:242">
      <c r="B28" s="64" t="s">
        <v>183</v>
      </c>
    </row>
    <row r="29" spans="2:242">
      <c r="B29" s="64" t="s">
        <v>176</v>
      </c>
      <c r="K29" s="76">
        <v>12735.9</v>
      </c>
      <c r="L29" s="76">
        <v>12916</v>
      </c>
    </row>
    <row r="30" spans="2:242">
      <c r="B30" s="64" t="s">
        <v>113</v>
      </c>
      <c r="K30" s="76">
        <v>5.4</v>
      </c>
      <c r="L30" s="76">
        <v>405.9</v>
      </c>
    </row>
    <row r="31" spans="2:242">
      <c r="B31" s="64" t="s">
        <v>177</v>
      </c>
      <c r="K31" s="76">
        <v>4477.5</v>
      </c>
      <c r="L31" s="76">
        <v>3023</v>
      </c>
    </row>
    <row r="32" spans="2:242">
      <c r="B32" s="64" t="s">
        <v>179</v>
      </c>
      <c r="K32" s="76">
        <v>82.6</v>
      </c>
      <c r="L32" s="76">
        <v>613.5</v>
      </c>
    </row>
    <row r="33" spans="2:12">
      <c r="B33" s="64" t="s">
        <v>111</v>
      </c>
      <c r="K33" s="76">
        <v>283.60000000000002</v>
      </c>
      <c r="L33" s="76">
        <v>88.9</v>
      </c>
    </row>
    <row r="34" spans="2:12">
      <c r="B34" s="64" t="s">
        <v>110</v>
      </c>
      <c r="K34" s="76">
        <v>320.60000000000002</v>
      </c>
      <c r="L34" s="76">
        <v>440.6</v>
      </c>
    </row>
    <row r="35" spans="2:12">
      <c r="B35" s="64" t="s">
        <v>178</v>
      </c>
      <c r="K35" s="76">
        <v>10891.5</v>
      </c>
      <c r="L35" s="76">
        <v>11429.3</v>
      </c>
    </row>
    <row r="36" spans="2:12">
      <c r="B36" s="64" t="s">
        <v>105</v>
      </c>
      <c r="K36" s="76">
        <v>0</v>
      </c>
      <c r="L36" s="76">
        <v>266.10000000000002</v>
      </c>
    </row>
    <row r="37" spans="2:12">
      <c r="B37" s="64" t="s">
        <v>104</v>
      </c>
      <c r="K37" s="76">
        <v>1940.3</v>
      </c>
      <c r="L37" s="76">
        <v>1432.8</v>
      </c>
    </row>
    <row r="38" spans="2:12">
      <c r="B38" s="64" t="s">
        <v>108</v>
      </c>
      <c r="K38" s="76">
        <f>SUM(K29:K37)</f>
        <v>30737.399999999994</v>
      </c>
      <c r="L38" s="76">
        <f>SUM(L29:L37)</f>
        <v>30616.1</v>
      </c>
    </row>
    <row r="39" spans="2:12">
      <c r="K39" s="76"/>
      <c r="L39" s="76"/>
    </row>
    <row r="40" spans="2:12">
      <c r="B40" s="64" t="s">
        <v>210</v>
      </c>
      <c r="K40" s="76"/>
      <c r="L40" s="76"/>
    </row>
    <row r="41" spans="2:12">
      <c r="B41" s="64" t="s">
        <v>179</v>
      </c>
      <c r="K41" s="76">
        <v>317.2</v>
      </c>
      <c r="L41" s="76">
        <v>13.3</v>
      </c>
    </row>
    <row r="42" spans="2:12">
      <c r="B42" s="64" t="s">
        <v>106</v>
      </c>
      <c r="K42" s="76">
        <v>1940.7</v>
      </c>
      <c r="L42" s="76">
        <v>1719.4</v>
      </c>
    </row>
    <row r="43" spans="2:12">
      <c r="B43" s="64" t="s">
        <v>105</v>
      </c>
      <c r="K43" s="76">
        <v>1456.6</v>
      </c>
      <c r="L43" s="76">
        <v>1653.9</v>
      </c>
    </row>
    <row r="44" spans="2:12">
      <c r="B44" s="64" t="s">
        <v>104</v>
      </c>
      <c r="K44" s="76">
        <v>790.8</v>
      </c>
      <c r="L44" s="76">
        <v>1057.0999999999999</v>
      </c>
    </row>
    <row r="45" spans="2:12">
      <c r="B45" s="64" t="s">
        <v>180</v>
      </c>
      <c r="K45" s="76">
        <v>0</v>
      </c>
      <c r="L45" s="76">
        <v>1320.7</v>
      </c>
    </row>
    <row r="46" spans="2:12">
      <c r="B46" s="64" t="s">
        <v>103</v>
      </c>
      <c r="K46" s="76">
        <v>903</v>
      </c>
      <c r="L46" s="76">
        <v>822.6</v>
      </c>
    </row>
    <row r="47" spans="2:12">
      <c r="B47" s="64" t="s">
        <v>102</v>
      </c>
      <c r="K47" s="76">
        <v>4588.6000000000004</v>
      </c>
      <c r="L47" s="76">
        <v>4588.6000000000004</v>
      </c>
    </row>
    <row r="48" spans="2:12">
      <c r="B48" s="64" t="s">
        <v>181</v>
      </c>
      <c r="K48" s="76">
        <v>621.29999999999995</v>
      </c>
      <c r="L48" s="76">
        <v>540.1</v>
      </c>
    </row>
    <row r="49" spans="2:12">
      <c r="B49" s="64" t="s">
        <v>182</v>
      </c>
      <c r="K49" s="76">
        <v>6846.8</v>
      </c>
      <c r="L49" s="76">
        <v>7893.8</v>
      </c>
    </row>
    <row r="50" spans="2:12">
      <c r="B50" s="64" t="s">
        <v>99</v>
      </c>
      <c r="K50" s="76">
        <v>387.2</v>
      </c>
      <c r="L50" s="76">
        <v>341</v>
      </c>
    </row>
    <row r="51" spans="2:12">
      <c r="B51" s="64" t="s">
        <v>98</v>
      </c>
      <c r="K51" s="76">
        <f>SUM(K41:K50)</f>
        <v>17852.2</v>
      </c>
      <c r="L51" s="76">
        <f>SUM(L41:L50)</f>
        <v>19950.500000000004</v>
      </c>
    </row>
    <row r="52" spans="2:12">
      <c r="K52" s="76"/>
      <c r="L52" s="76"/>
    </row>
    <row r="53" spans="2:12">
      <c r="B53" s="64" t="s">
        <v>97</v>
      </c>
      <c r="K53" s="76">
        <f>K38+K51</f>
        <v>48589.599999999991</v>
      </c>
      <c r="L53" s="76">
        <f>L38+L51</f>
        <v>50566.600000000006</v>
      </c>
    </row>
    <row r="54" spans="2:12">
      <c r="K54" s="76"/>
      <c r="L54" s="76"/>
    </row>
    <row r="55" spans="2:12">
      <c r="B55" s="64" t="s">
        <v>184</v>
      </c>
      <c r="K55" s="76"/>
      <c r="L55" s="76"/>
    </row>
    <row r="56" spans="2:12">
      <c r="B56" s="64" t="s">
        <v>187</v>
      </c>
      <c r="K56" s="76"/>
      <c r="L56" s="76"/>
    </row>
    <row r="57" spans="2:12">
      <c r="B57" s="64" t="s">
        <v>95</v>
      </c>
      <c r="K57" s="76">
        <v>3500.4</v>
      </c>
      <c r="L57" s="76">
        <v>3521.8</v>
      </c>
    </row>
    <row r="58" spans="2:12">
      <c r="B58" s="64" t="s">
        <v>185</v>
      </c>
      <c r="K58" s="76">
        <v>2686.6</v>
      </c>
      <c r="L58" s="76">
        <v>2567.3000000000002</v>
      </c>
    </row>
    <row r="59" spans="2:12">
      <c r="B59" s="64" t="s">
        <v>94</v>
      </c>
      <c r="K59" s="76">
        <v>283.3</v>
      </c>
      <c r="L59" s="76">
        <v>486.6</v>
      </c>
    </row>
    <row r="60" spans="2:12">
      <c r="B60" s="64" t="s">
        <v>186</v>
      </c>
      <c r="K60" s="76">
        <v>1010.3</v>
      </c>
      <c r="L60" s="76">
        <v>1681.9</v>
      </c>
    </row>
    <row r="61" spans="2:12">
      <c r="B61" s="64" t="s">
        <v>89</v>
      </c>
      <c r="K61" s="76">
        <v>12570.8</v>
      </c>
      <c r="L61" s="76">
        <v>16006.3</v>
      </c>
    </row>
    <row r="62" spans="2:12">
      <c r="B62" s="64" t="s">
        <v>92</v>
      </c>
      <c r="K62" s="76">
        <f>SUM(K57:K61)</f>
        <v>20051.400000000001</v>
      </c>
      <c r="L62" s="76">
        <f>SUM(L57:L61)</f>
        <v>24263.9</v>
      </c>
    </row>
    <row r="63" spans="2:12">
      <c r="K63" s="76"/>
      <c r="L63" s="76"/>
    </row>
    <row r="64" spans="2:12">
      <c r="B64" s="64" t="s">
        <v>209</v>
      </c>
      <c r="K64" s="76"/>
      <c r="L64" s="76"/>
    </row>
    <row r="65" spans="2:12">
      <c r="B65" s="64" t="s">
        <v>91</v>
      </c>
      <c r="K65" s="76">
        <v>3677.3</v>
      </c>
      <c r="L65" s="76">
        <v>2709</v>
      </c>
    </row>
    <row r="66" spans="2:12">
      <c r="B66" s="64" t="s">
        <v>188</v>
      </c>
      <c r="K66" s="76">
        <v>299.2</v>
      </c>
      <c r="L66" s="76">
        <v>183</v>
      </c>
    </row>
    <row r="67" spans="2:12">
      <c r="B67" s="64" t="s">
        <v>89</v>
      </c>
      <c r="K67" s="76">
        <v>5625.4</v>
      </c>
      <c r="L67" s="76">
        <v>3366.3</v>
      </c>
    </row>
    <row r="68" spans="2:12">
      <c r="B68" s="64" t="s">
        <v>185</v>
      </c>
      <c r="K68" s="76">
        <v>459.5</v>
      </c>
      <c r="L68" s="76">
        <v>432.2</v>
      </c>
    </row>
    <row r="69" spans="2:12">
      <c r="B69" s="64" t="s">
        <v>87</v>
      </c>
      <c r="K69" s="76">
        <f>SUM(K65:K68)</f>
        <v>10061.4</v>
      </c>
      <c r="L69" s="76">
        <f>SUM(L65:L68)</f>
        <v>6690.5</v>
      </c>
    </row>
    <row r="70" spans="2:12">
      <c r="K70" s="76"/>
      <c r="L70" s="76"/>
    </row>
    <row r="71" spans="2:12">
      <c r="B71" s="64" t="s">
        <v>189</v>
      </c>
      <c r="K71" s="76">
        <f>K62+K69</f>
        <v>30112.800000000003</v>
      </c>
      <c r="L71" s="76">
        <f>L62+L69</f>
        <v>30954.400000000001</v>
      </c>
    </row>
    <row r="72" spans="2:12">
      <c r="K72" s="76"/>
      <c r="L72" s="76"/>
    </row>
    <row r="73" spans="2:12">
      <c r="B73" s="64" t="s">
        <v>190</v>
      </c>
      <c r="K73" s="76"/>
      <c r="L73" s="76"/>
    </row>
    <row r="74" spans="2:12">
      <c r="B74" s="64" t="s">
        <v>191</v>
      </c>
      <c r="K74" s="76">
        <v>35.4</v>
      </c>
      <c r="L74" s="76">
        <v>34.9</v>
      </c>
    </row>
    <row r="75" spans="2:12">
      <c r="B75" s="64" t="s">
        <v>192</v>
      </c>
      <c r="K75" s="76">
        <v>4049</v>
      </c>
      <c r="L75" s="76">
        <v>4107.1000000000004</v>
      </c>
    </row>
    <row r="76" spans="2:12">
      <c r="B76" s="64" t="s">
        <v>80</v>
      </c>
      <c r="K76" s="76">
        <v>-476</v>
      </c>
      <c r="L76" s="76">
        <v>-2252.9</v>
      </c>
    </row>
    <row r="77" spans="2:12">
      <c r="B77" s="64" t="s">
        <v>79</v>
      </c>
      <c r="K77" s="76">
        <v>14414.3</v>
      </c>
      <c r="L77" s="76">
        <v>17587.3</v>
      </c>
    </row>
    <row r="78" spans="2:12">
      <c r="B78" s="64" t="s">
        <v>193</v>
      </c>
      <c r="K78" s="76">
        <v>454.1</v>
      </c>
      <c r="L78" s="76">
        <v>135.80000000000001</v>
      </c>
    </row>
    <row r="79" spans="2:12">
      <c r="B79" s="64" t="s">
        <v>194</v>
      </c>
      <c r="K79" s="76">
        <f>SUM(K74:K78)</f>
        <v>18476.8</v>
      </c>
      <c r="L79" s="76">
        <f>SUM(L74:L78)</f>
        <v>19612.199999999997</v>
      </c>
    </row>
    <row r="80" spans="2:12">
      <c r="K80" s="76"/>
      <c r="L80" s="76"/>
    </row>
    <row r="81" spans="2:12">
      <c r="B81" s="64" t="s">
        <v>195</v>
      </c>
      <c r="K81" s="76">
        <f>K71+K79</f>
        <v>48589.600000000006</v>
      </c>
      <c r="L81" s="76">
        <f>L71+L79</f>
        <v>50566.6</v>
      </c>
    </row>
    <row r="83" spans="2:12">
      <c r="B83" s="77" t="s">
        <v>196</v>
      </c>
      <c r="C83" s="78"/>
      <c r="D83" s="78"/>
      <c r="E83" s="78"/>
      <c r="F83" s="78"/>
      <c r="G83" s="78"/>
      <c r="H83" s="78"/>
      <c r="I83" s="78"/>
      <c r="J83" s="78"/>
      <c r="K83" s="78" t="str">
        <f>IF(ABS(K81-K53)&lt;1,"Balanced","Not balanced")</f>
        <v>Balanced</v>
      </c>
      <c r="L83" s="79" t="str">
        <f>IF(ABS(L81-L53)&lt;1,"Balanced","Not balanced")</f>
        <v>Balanced</v>
      </c>
    </row>
    <row r="107" spans="2:12">
      <c r="B107" s="64" t="s">
        <v>197</v>
      </c>
    </row>
    <row r="109" spans="2:12">
      <c r="B109" s="64" t="s">
        <v>202</v>
      </c>
    </row>
    <row r="110" spans="2:12">
      <c r="B110" s="64" t="s">
        <v>198</v>
      </c>
      <c r="K110" s="76">
        <v>4477.5</v>
      </c>
      <c r="L110" s="76">
        <v>3023</v>
      </c>
    </row>
    <row r="111" spans="2:12">
      <c r="B111" s="64" t="s">
        <v>199</v>
      </c>
      <c r="K111" s="76">
        <v>0</v>
      </c>
      <c r="L111" s="76">
        <v>0</v>
      </c>
    </row>
    <row r="112" spans="2:12">
      <c r="B112" s="64" t="s">
        <v>200</v>
      </c>
      <c r="K112" s="76">
        <f>K110-K111</f>
        <v>4477.5</v>
      </c>
      <c r="L112" s="76">
        <f>L110-L111</f>
        <v>3023</v>
      </c>
    </row>
    <row r="114" spans="2:12">
      <c r="B114" s="64" t="s">
        <v>201</v>
      </c>
    </row>
    <row r="115" spans="2:12">
      <c r="B115" s="64" t="s">
        <v>203</v>
      </c>
    </row>
    <row r="116" spans="2:12">
      <c r="B116" s="64" t="s">
        <v>204</v>
      </c>
    </row>
    <row r="117" spans="2:12">
      <c r="B117" s="64" t="s">
        <v>205</v>
      </c>
    </row>
    <row r="118" spans="2:12">
      <c r="B118" s="64" t="s">
        <v>206</v>
      </c>
    </row>
    <row r="119" spans="2:12">
      <c r="B119" s="64" t="s">
        <v>207</v>
      </c>
    </row>
    <row r="120" spans="2:12">
      <c r="B120" s="64" t="s">
        <v>208</v>
      </c>
    </row>
    <row r="123" spans="2:12">
      <c r="B123" s="64" t="s">
        <v>211</v>
      </c>
      <c r="C123"/>
      <c r="D123"/>
      <c r="E123"/>
      <c r="F123"/>
      <c r="G123"/>
      <c r="H123"/>
      <c r="I123"/>
      <c r="J123"/>
      <c r="K123"/>
    </row>
    <row r="125" spans="2:12">
      <c r="B125" s="64" t="s">
        <v>217</v>
      </c>
    </row>
    <row r="126" spans="2:12">
      <c r="B126" s="64" t="s">
        <v>218</v>
      </c>
      <c r="K126" s="76">
        <v>-693.2</v>
      </c>
      <c r="L126" s="76">
        <f>K130</f>
        <v>-911.50000000000011</v>
      </c>
    </row>
    <row r="127" spans="2:12">
      <c r="B127" s="64" t="s">
        <v>219</v>
      </c>
      <c r="K127" s="76">
        <v>-554.70000000000005</v>
      </c>
      <c r="L127" s="76">
        <v>-469.4</v>
      </c>
    </row>
    <row r="128" spans="2:12">
      <c r="B128" s="64" t="s">
        <v>220</v>
      </c>
      <c r="K128" s="76">
        <v>-1.7</v>
      </c>
      <c r="L128" s="76">
        <v>6.1</v>
      </c>
    </row>
    <row r="129" spans="2:26">
      <c r="B129" s="64" t="s">
        <v>221</v>
      </c>
      <c r="K129" s="76">
        <v>338.1</v>
      </c>
      <c r="L129" s="76">
        <v>602</v>
      </c>
    </row>
    <row r="130" spans="2:26">
      <c r="B130" s="64" t="s">
        <v>222</v>
      </c>
      <c r="C130"/>
      <c r="D130"/>
      <c r="E130"/>
      <c r="F130"/>
      <c r="G130"/>
      <c r="H130"/>
      <c r="I130"/>
      <c r="J130"/>
      <c r="K130" s="80">
        <f>SUM(K126:K129)</f>
        <v>-911.50000000000011</v>
      </c>
      <c r="L130" s="80">
        <f>SUM(L126:L129)</f>
        <v>-772.80000000000018</v>
      </c>
    </row>
    <row r="131" spans="2:26">
      <c r="B131"/>
      <c r="C131"/>
      <c r="D131"/>
      <c r="E131"/>
      <c r="F131"/>
      <c r="G131"/>
      <c r="H131"/>
      <c r="I131"/>
      <c r="J131"/>
      <c r="K131"/>
    </row>
    <row r="132" spans="2:26">
      <c r="B132"/>
      <c r="C132"/>
      <c r="D132"/>
      <c r="E132"/>
      <c r="F132"/>
      <c r="G132"/>
      <c r="H132"/>
      <c r="I132"/>
      <c r="J132"/>
      <c r="K132"/>
      <c r="W132" s="25" t="s">
        <v>33</v>
      </c>
      <c r="X132" s="26"/>
      <c r="Y132" s="26"/>
      <c r="Z132" s="27"/>
    </row>
    <row r="133" spans="2:26">
      <c r="B133" t="s">
        <v>223</v>
      </c>
      <c r="C133"/>
      <c r="D133"/>
      <c r="E133"/>
      <c r="F133"/>
      <c r="G133"/>
      <c r="H133"/>
      <c r="I133"/>
      <c r="J133"/>
      <c r="K133"/>
      <c r="W133" s="12" t="s">
        <v>24</v>
      </c>
      <c r="X133" s="68">
        <v>0.01</v>
      </c>
      <c r="Y133" s="69">
        <v>0.01</v>
      </c>
      <c r="Z133" s="69">
        <v>0.01</v>
      </c>
    </row>
    <row r="134" spans="2:26">
      <c r="B134" s="64" t="s">
        <v>212</v>
      </c>
      <c r="C134"/>
      <c r="D134"/>
      <c r="E134"/>
      <c r="F134"/>
      <c r="G134"/>
      <c r="H134"/>
      <c r="I134"/>
      <c r="J134"/>
      <c r="K134" s="80">
        <v>4911.2</v>
      </c>
      <c r="L134" s="76">
        <v>5298.5</v>
      </c>
      <c r="W134" s="13" t="s">
        <v>25</v>
      </c>
      <c r="X134" s="70">
        <v>7.6999999999999999E-2</v>
      </c>
      <c r="Y134" s="71">
        <v>0.10299999999999999</v>
      </c>
      <c r="Z134" s="71">
        <v>0.1318</v>
      </c>
    </row>
    <row r="135" spans="2:26">
      <c r="B135" s="64" t="s">
        <v>213</v>
      </c>
      <c r="C135"/>
      <c r="D135"/>
      <c r="E135"/>
      <c r="F135"/>
      <c r="G135"/>
      <c r="H135"/>
      <c r="I135"/>
      <c r="J135"/>
      <c r="K135" s="80">
        <v>4872.3</v>
      </c>
      <c r="L135" s="76">
        <v>4768.5</v>
      </c>
      <c r="W135" s="13" t="s">
        <v>26</v>
      </c>
      <c r="X135" s="72">
        <v>393283720</v>
      </c>
      <c r="Y135" s="73">
        <v>393283720</v>
      </c>
      <c r="Z135" s="73">
        <v>393283720</v>
      </c>
    </row>
    <row r="136" spans="2:26">
      <c r="B136" s="64" t="s">
        <v>214</v>
      </c>
      <c r="C136"/>
      <c r="D136"/>
      <c r="E136"/>
      <c r="F136"/>
      <c r="G136"/>
      <c r="H136"/>
      <c r="I136"/>
      <c r="J136"/>
      <c r="K136" s="80">
        <v>2019.5</v>
      </c>
      <c r="L136" s="76">
        <v>2135.1</v>
      </c>
      <c r="W136" s="13" t="s">
        <v>31</v>
      </c>
      <c r="X136" s="74">
        <f>NPV(X134,$L$24:$IH$24)</f>
        <v>724713.30540687172</v>
      </c>
      <c r="Y136" s="75">
        <f>NPV(Y134,$L$24:$IH$24)</f>
        <v>462496.76379470353</v>
      </c>
      <c r="Z136" s="75">
        <f>NPV(Z134,$L$24:$IH$24)</f>
        <v>312389.47871378192</v>
      </c>
    </row>
    <row r="137" spans="2:26">
      <c r="B137" s="64" t="s">
        <v>215</v>
      </c>
      <c r="C137"/>
      <c r="D137"/>
      <c r="E137"/>
      <c r="F137"/>
      <c r="G137"/>
      <c r="H137"/>
      <c r="I137"/>
      <c r="J137"/>
      <c r="K137" s="80">
        <f>SUM(K134:K136)</f>
        <v>11803</v>
      </c>
      <c r="L137" s="80">
        <f>SUM(L134:L136)</f>
        <v>12202.1</v>
      </c>
      <c r="W137" s="13" t="s">
        <v>28</v>
      </c>
      <c r="X137" s="74">
        <f>(X136*1000000)/X135</f>
        <v>1842.7238874949405</v>
      </c>
      <c r="Y137" s="75">
        <f>(Y136*1000000)/Y135</f>
        <v>1175.9875638755236</v>
      </c>
      <c r="Z137" s="75">
        <f>(Z136*1000000)/Z135</f>
        <v>794.31072995795989</v>
      </c>
    </row>
    <row r="138" spans="2:26">
      <c r="B138" s="64" t="s">
        <v>167</v>
      </c>
      <c r="C138"/>
      <c r="D138"/>
      <c r="E138"/>
      <c r="F138"/>
      <c r="G138"/>
      <c r="H138"/>
      <c r="I138"/>
      <c r="J138"/>
      <c r="K138" s="80">
        <f>K130</f>
        <v>-911.50000000000011</v>
      </c>
      <c r="L138" s="80">
        <f>L130</f>
        <v>-772.80000000000018</v>
      </c>
      <c r="W138" s="19" t="s">
        <v>27</v>
      </c>
      <c r="X138" s="20">
        <f>X137*1.18</f>
        <v>2174.4141872440296</v>
      </c>
      <c r="Y138" s="21">
        <f t="shared" ref="Y138:Z138" si="141">Y137*1.18</f>
        <v>1387.6653253731179</v>
      </c>
      <c r="Z138" s="21">
        <f t="shared" si="141"/>
        <v>937.28666135039259</v>
      </c>
    </row>
    <row r="139" spans="2:26">
      <c r="B139" s="64" t="s">
        <v>216</v>
      </c>
      <c r="C139"/>
      <c r="D139"/>
      <c r="E139"/>
      <c r="F139"/>
      <c r="G139"/>
      <c r="H139"/>
      <c r="I139"/>
      <c r="J139"/>
      <c r="K139" s="80">
        <f>SUM(K137:K138)</f>
        <v>10891.5</v>
      </c>
      <c r="L139" s="80">
        <f>SUM(L137:L138)</f>
        <v>11429.3</v>
      </c>
      <c r="W139" s="16" t="s">
        <v>29</v>
      </c>
      <c r="X139" s="17">
        <v>867.3</v>
      </c>
      <c r="Y139" s="18">
        <v>867.3</v>
      </c>
      <c r="Z139" s="18">
        <v>867.3</v>
      </c>
    </row>
    <row r="140" spans="2:26">
      <c r="B140"/>
      <c r="C140"/>
      <c r="D140"/>
      <c r="E140"/>
      <c r="F140"/>
      <c r="G140"/>
      <c r="H140"/>
      <c r="I140"/>
      <c r="J140"/>
      <c r="K140"/>
      <c r="W140" s="22" t="s">
        <v>30</v>
      </c>
      <c r="X140" s="23">
        <f>X138-X139</f>
        <v>1307.1141872440296</v>
      </c>
      <c r="Y140" s="24">
        <f t="shared" ref="Y140:Z140" si="142">Y138-Y139</f>
        <v>520.36532537311791</v>
      </c>
      <c r="Z140" s="24">
        <f t="shared" si="142"/>
        <v>69.986661350392637</v>
      </c>
    </row>
    <row r="141" spans="2:26">
      <c r="B141" t="s">
        <v>229</v>
      </c>
      <c r="C141"/>
      <c r="D141"/>
      <c r="E141"/>
      <c r="F141"/>
      <c r="G141"/>
      <c r="H141"/>
      <c r="I141"/>
      <c r="J141"/>
      <c r="K141"/>
      <c r="W141" s="14" t="s">
        <v>32</v>
      </c>
      <c r="X141" s="11" t="str">
        <f>IF(X140&gt;0,"Buy","Sell")</f>
        <v>Buy</v>
      </c>
      <c r="Y141" s="15" t="str">
        <f t="shared" ref="Y141:Z141" si="143">IF(Y140&gt;0,"Buy","Sell")</f>
        <v>Buy</v>
      </c>
      <c r="Z141" s="15" t="str">
        <f t="shared" si="143"/>
        <v>Buy</v>
      </c>
    </row>
    <row r="142" spans="2:26">
      <c r="B142" t="s">
        <v>224</v>
      </c>
      <c r="C142"/>
      <c r="D142"/>
      <c r="E142"/>
      <c r="F142"/>
      <c r="G142"/>
      <c r="H142"/>
      <c r="I142"/>
      <c r="J142"/>
      <c r="K142" s="80">
        <v>815.8</v>
      </c>
      <c r="L142" s="76">
        <v>323.5</v>
      </c>
    </row>
    <row r="143" spans="2:26">
      <c r="B143" t="s">
        <v>225</v>
      </c>
      <c r="C143"/>
      <c r="D143"/>
      <c r="E143"/>
      <c r="F143"/>
      <c r="G143"/>
      <c r="H143"/>
      <c r="I143"/>
      <c r="J143"/>
      <c r="K143" s="80">
        <v>555.5</v>
      </c>
      <c r="L143" s="76">
        <v>538</v>
      </c>
    </row>
    <row r="144" spans="2:26">
      <c r="B144" t="s">
        <v>226</v>
      </c>
      <c r="C144"/>
      <c r="D144"/>
      <c r="E144"/>
      <c r="F144"/>
      <c r="G144"/>
      <c r="H144"/>
      <c r="I144"/>
      <c r="J144"/>
      <c r="K144" s="80">
        <v>96.5</v>
      </c>
      <c r="L144" s="76">
        <v>33.6</v>
      </c>
    </row>
    <row r="145" spans="2:12">
      <c r="B145" t="s">
        <v>227</v>
      </c>
      <c r="C145"/>
      <c r="D145"/>
      <c r="E145"/>
      <c r="F145"/>
      <c r="G145"/>
      <c r="H145"/>
      <c r="I145"/>
      <c r="J145"/>
      <c r="K145" s="80">
        <v>279.10000000000002</v>
      </c>
      <c r="L145" s="76">
        <v>187.2</v>
      </c>
    </row>
    <row r="146" spans="2:12">
      <c r="B146" t="s">
        <v>104</v>
      </c>
      <c r="C146"/>
      <c r="D146"/>
      <c r="E146"/>
      <c r="F146"/>
      <c r="G146"/>
      <c r="H146"/>
      <c r="I146"/>
      <c r="J146"/>
      <c r="K146" s="80">
        <v>193.4</v>
      </c>
      <c r="L146" s="76">
        <v>350.5</v>
      </c>
    </row>
    <row r="147" spans="2:12">
      <c r="B147" t="s">
        <v>228</v>
      </c>
      <c r="C147"/>
      <c r="D147"/>
      <c r="E147"/>
      <c r="F147"/>
      <c r="G147"/>
      <c r="H147"/>
      <c r="I147"/>
      <c r="J147"/>
      <c r="K147" s="80">
        <f>SUM(K142:K146)</f>
        <v>1940.3000000000002</v>
      </c>
      <c r="L147" s="80">
        <f>SUM(L142:L146)</f>
        <v>1432.8</v>
      </c>
    </row>
    <row r="148" spans="2:12">
      <c r="B148"/>
      <c r="C148"/>
      <c r="D148"/>
      <c r="E148"/>
      <c r="F148"/>
      <c r="G148"/>
      <c r="H148"/>
      <c r="I148"/>
      <c r="J148"/>
      <c r="K148" s="80"/>
      <c r="L148" s="76"/>
    </row>
    <row r="149" spans="2:12">
      <c r="B149" t="s">
        <v>224</v>
      </c>
      <c r="C149"/>
      <c r="D149"/>
      <c r="E149"/>
      <c r="F149"/>
      <c r="G149"/>
      <c r="H149"/>
      <c r="I149"/>
      <c r="J149"/>
      <c r="K149" s="80">
        <v>599.9</v>
      </c>
      <c r="L149" s="76">
        <v>868.4</v>
      </c>
    </row>
    <row r="150" spans="2:12">
      <c r="B150" t="s">
        <v>225</v>
      </c>
      <c r="C150"/>
      <c r="D150"/>
      <c r="E150"/>
      <c r="F150"/>
      <c r="G150"/>
      <c r="H150"/>
      <c r="I150"/>
      <c r="J150"/>
      <c r="K150" s="80">
        <v>49.5</v>
      </c>
      <c r="L150" s="76">
        <v>46.1</v>
      </c>
    </row>
    <row r="151" spans="2:12">
      <c r="B151" t="s">
        <v>230</v>
      </c>
      <c r="C151"/>
      <c r="D151"/>
      <c r="E151"/>
      <c r="F151"/>
      <c r="G151"/>
      <c r="H151"/>
      <c r="I151"/>
      <c r="J151"/>
      <c r="K151" s="80">
        <v>113.1</v>
      </c>
      <c r="L151" s="76">
        <v>129.9</v>
      </c>
    </row>
    <row r="152" spans="2:12">
      <c r="B152" t="s">
        <v>104</v>
      </c>
      <c r="C152"/>
      <c r="D152"/>
      <c r="E152"/>
      <c r="F152"/>
      <c r="G152"/>
      <c r="H152"/>
      <c r="I152"/>
      <c r="J152"/>
      <c r="K152" s="80">
        <v>28.3</v>
      </c>
      <c r="L152" s="76">
        <v>12.7</v>
      </c>
    </row>
    <row r="153" spans="2:12">
      <c r="B153" s="64" t="s">
        <v>231</v>
      </c>
      <c r="K153" s="76">
        <f>SUM(K149:K152)</f>
        <v>790.8</v>
      </c>
      <c r="L153" s="76">
        <f>SUM(L149:L152)</f>
        <v>1057.1000000000001</v>
      </c>
    </row>
    <row r="155" spans="2:12">
      <c r="B155" s="64" t="s">
        <v>232</v>
      </c>
    </row>
    <row r="156" spans="2:12">
      <c r="B156" s="64" t="s">
        <v>218</v>
      </c>
      <c r="K156" s="76">
        <v>0</v>
      </c>
      <c r="L156" s="76">
        <f>K160</f>
        <v>0</v>
      </c>
    </row>
    <row r="157" spans="2:12">
      <c r="B157" s="64" t="s">
        <v>219</v>
      </c>
      <c r="K157" s="76">
        <v>0</v>
      </c>
      <c r="L157" s="76">
        <v>1302.2</v>
      </c>
    </row>
    <row r="158" spans="2:12">
      <c r="B158" s="64" t="s">
        <v>233</v>
      </c>
      <c r="K158" s="76">
        <v>0</v>
      </c>
      <c r="L158" s="76">
        <v>0</v>
      </c>
    </row>
    <row r="159" spans="2:12">
      <c r="B159" s="64" t="s">
        <v>234</v>
      </c>
      <c r="K159" s="76">
        <v>0</v>
      </c>
      <c r="L159" s="76">
        <v>18.5</v>
      </c>
    </row>
    <row r="160" spans="2:12">
      <c r="B160" s="64" t="s">
        <v>222</v>
      </c>
      <c r="K160" s="76">
        <f>SUM(K156:K159)</f>
        <v>0</v>
      </c>
      <c r="L160" s="76">
        <f>SUM(L156:L159)</f>
        <v>1320.7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24CF8-9BBC-44D4-9E8F-9D44598CA73C}">
  <dimension ref="A1:D104"/>
  <sheetViews>
    <sheetView showGridLines="0" showRuler="0" workbookViewId="0">
      <selection activeCell="A9" sqref="A9"/>
    </sheetView>
  </sheetViews>
  <sheetFormatPr defaultColWidth="12.62890625" defaultRowHeight="12.3"/>
  <cols>
    <col min="1" max="1" width="49.7890625" style="28" customWidth="1"/>
    <col min="2" max="25" width="19.05078125" style="28" customWidth="1"/>
    <col min="26" max="16384" width="12.62890625" style="28"/>
  </cols>
  <sheetData>
    <row r="1" spans="1:4" ht="15.75" customHeight="1">
      <c r="A1" s="47" t="s">
        <v>63</v>
      </c>
    </row>
    <row r="2" spans="1:4" ht="32.549999999999997" customHeight="1">
      <c r="A2" s="55" t="s">
        <v>62</v>
      </c>
      <c r="B2" s="56"/>
      <c r="C2" s="56"/>
      <c r="D2" s="56"/>
    </row>
    <row r="3" spans="1:4" ht="16.649999999999999" customHeight="1"/>
    <row r="4" spans="1:4" ht="16.649999999999999" customHeight="1">
      <c r="A4" s="55" t="s">
        <v>61</v>
      </c>
      <c r="B4" s="56"/>
      <c r="C4" s="56"/>
      <c r="D4" s="56"/>
    </row>
    <row r="5" spans="1:4" ht="16.649999999999999" customHeight="1"/>
    <row r="6" spans="1:4" ht="14.1" customHeight="1">
      <c r="A6" s="57" t="s">
        <v>60</v>
      </c>
      <c r="B6" s="56"/>
      <c r="C6" s="56"/>
      <c r="D6" s="56"/>
    </row>
    <row r="7" spans="1:4" ht="16.649999999999999" customHeight="1">
      <c r="A7" s="46"/>
      <c r="B7" s="46"/>
      <c r="C7" s="46"/>
      <c r="D7" s="46"/>
    </row>
    <row r="8" spans="1:4" ht="16.649999999999999" customHeight="1">
      <c r="A8" s="45" t="s">
        <v>59</v>
      </c>
      <c r="B8" s="44" t="s">
        <v>58</v>
      </c>
      <c r="C8" s="44" t="s">
        <v>57</v>
      </c>
      <c r="D8" s="44" t="s">
        <v>56</v>
      </c>
    </row>
    <row r="9" spans="1:4" ht="16.649999999999999" customHeight="1">
      <c r="A9" s="43" t="s">
        <v>55</v>
      </c>
      <c r="B9" s="41">
        <v>15430.3</v>
      </c>
      <c r="C9" s="41">
        <v>21938.6</v>
      </c>
      <c r="D9" s="40">
        <v>21768.7</v>
      </c>
    </row>
    <row r="10" spans="1:4" ht="16.649999999999999" customHeight="1">
      <c r="A10" s="39" t="s">
        <v>54</v>
      </c>
      <c r="B10" s="38">
        <v>5743.1</v>
      </c>
      <c r="C10" s="38">
        <v>5619.9</v>
      </c>
      <c r="D10" s="37">
        <v>6494.2</v>
      </c>
    </row>
    <row r="11" spans="1:4" ht="16.649999999999999" customHeight="1">
      <c r="A11" s="42" t="s">
        <v>53</v>
      </c>
      <c r="B11" s="41">
        <v>21173.4</v>
      </c>
      <c r="C11" s="41">
        <v>27558.5</v>
      </c>
      <c r="D11" s="40">
        <v>28262.9</v>
      </c>
    </row>
    <row r="12" spans="1:4" ht="4.2" customHeight="1"/>
    <row r="13" spans="1:4" ht="16.649999999999999" customHeight="1">
      <c r="A13" s="31" t="s">
        <v>52</v>
      </c>
      <c r="B13" s="30">
        <v>-7582.3</v>
      </c>
      <c r="C13" s="30">
        <v>-10151</v>
      </c>
      <c r="D13" s="29">
        <v>-10406.9</v>
      </c>
    </row>
    <row r="14" spans="1:4" ht="16.649999999999999" customHeight="1">
      <c r="A14" s="39" t="s">
        <v>51</v>
      </c>
      <c r="B14" s="38">
        <v>-2891</v>
      </c>
      <c r="C14" s="38">
        <v>-3271.4</v>
      </c>
      <c r="D14" s="37">
        <v>-3364</v>
      </c>
    </row>
    <row r="15" spans="1:4" ht="16.649999999999999" customHeight="1">
      <c r="A15" s="42" t="s">
        <v>50</v>
      </c>
      <c r="B15" s="41">
        <v>-10473.299999999999</v>
      </c>
      <c r="C15" s="41">
        <v>-13422.4</v>
      </c>
      <c r="D15" s="40">
        <v>-13770.9</v>
      </c>
    </row>
    <row r="16" spans="1:4" ht="4.2" customHeight="1"/>
    <row r="17" spans="1:4" ht="16.649999999999999" customHeight="1">
      <c r="A17" s="42" t="s">
        <v>49</v>
      </c>
      <c r="B17" s="41">
        <v>10700.1</v>
      </c>
      <c r="C17" s="41">
        <v>14136.1</v>
      </c>
      <c r="D17" s="40">
        <v>14492</v>
      </c>
    </row>
    <row r="18" spans="1:4" ht="4.2" customHeight="1"/>
    <row r="19" spans="1:4" ht="16.649999999999999" customHeight="1">
      <c r="A19" s="31" t="s">
        <v>48</v>
      </c>
      <c r="B19" s="30">
        <v>-3253.5</v>
      </c>
      <c r="C19" s="30">
        <v>-3980.6</v>
      </c>
      <c r="D19" s="29">
        <v>-4303.7</v>
      </c>
    </row>
    <row r="20" spans="1:4" ht="16.649999999999999" customHeight="1">
      <c r="A20" s="31" t="s">
        <v>47</v>
      </c>
      <c r="B20" s="30">
        <v>-945.9</v>
      </c>
      <c r="C20" s="30">
        <v>-1113.2</v>
      </c>
      <c r="D20" s="29">
        <v>-1165.7</v>
      </c>
    </row>
    <row r="21" spans="1:4" ht="16.649999999999999" hidden="1" customHeight="1">
      <c r="A21" s="39" t="s">
        <v>46</v>
      </c>
      <c r="B21" s="38">
        <v>0</v>
      </c>
      <c r="C21" s="38">
        <v>0</v>
      </c>
      <c r="D21" s="37">
        <v>0</v>
      </c>
    </row>
    <row r="22" spans="1:4" ht="16.649999999999999" customHeight="1">
      <c r="A22" s="42" t="s">
        <v>45</v>
      </c>
      <c r="B22" s="41">
        <v>6500.7</v>
      </c>
      <c r="C22" s="41">
        <v>9042.2999999999993</v>
      </c>
      <c r="D22" s="40">
        <v>9022.6</v>
      </c>
    </row>
    <row r="23" spans="1:4" ht="4.2" customHeight="1"/>
    <row r="24" spans="1:4" ht="16.649999999999999" customHeight="1">
      <c r="A24" s="39" t="s">
        <v>44</v>
      </c>
      <c r="B24" s="38">
        <v>-44.6</v>
      </c>
      <c r="C24" s="38">
        <v>41.2</v>
      </c>
      <c r="D24" s="37">
        <v>19.8</v>
      </c>
    </row>
    <row r="25" spans="1:4" ht="16.649999999999999" customHeight="1">
      <c r="A25" s="42" t="s">
        <v>43</v>
      </c>
      <c r="B25" s="41">
        <v>6456.1</v>
      </c>
      <c r="C25" s="41">
        <v>9083.5</v>
      </c>
      <c r="D25" s="40">
        <v>9042.4</v>
      </c>
    </row>
    <row r="26" spans="1:4" ht="4.2" customHeight="1"/>
    <row r="27" spans="1:4" ht="16.649999999999999" customHeight="1">
      <c r="A27" s="39" t="s">
        <v>42</v>
      </c>
      <c r="B27" s="38">
        <v>-969.9</v>
      </c>
      <c r="C27" s="38">
        <v>-1435.8</v>
      </c>
      <c r="D27" s="37">
        <v>-1680.6</v>
      </c>
    </row>
    <row r="28" spans="1:4" ht="16.649999999999999" customHeight="1">
      <c r="A28" s="42" t="s">
        <v>41</v>
      </c>
      <c r="B28" s="41">
        <v>5486.2</v>
      </c>
      <c r="C28" s="41">
        <v>7647.7</v>
      </c>
      <c r="D28" s="40">
        <v>7361.8</v>
      </c>
    </row>
    <row r="29" spans="1:4" ht="4.2" customHeight="1"/>
    <row r="30" spans="1:4" ht="16.649999999999999" customHeight="1">
      <c r="A30" s="39" t="s">
        <v>40</v>
      </c>
      <c r="B30" s="38">
        <v>138</v>
      </c>
      <c r="C30" s="38">
        <v>191.3</v>
      </c>
      <c r="D30" s="37">
        <v>209.8</v>
      </c>
    </row>
    <row r="31" spans="1:4" ht="4.2" customHeight="1">
      <c r="A31" s="36"/>
      <c r="B31" s="35"/>
      <c r="C31" s="35"/>
      <c r="D31" s="35"/>
    </row>
    <row r="32" spans="1:4" ht="16.649999999999999" customHeight="1">
      <c r="A32" s="34" t="s">
        <v>39</v>
      </c>
      <c r="B32" s="30">
        <v>5624.2</v>
      </c>
      <c r="C32" s="30">
        <v>7839</v>
      </c>
      <c r="D32" s="29">
        <v>7571.6</v>
      </c>
    </row>
    <row r="33" spans="1:4" ht="16.649999999999999" customHeight="1"/>
    <row r="34" spans="1:4" ht="16.649999999999999" customHeight="1">
      <c r="A34" s="31" t="s">
        <v>38</v>
      </c>
      <c r="B34" s="33">
        <v>14.14</v>
      </c>
      <c r="C34" s="33">
        <v>19.91</v>
      </c>
      <c r="D34" s="32">
        <v>19.25</v>
      </c>
    </row>
    <row r="35" spans="1:4" ht="16.649999999999999" customHeight="1">
      <c r="A35" s="31" t="s">
        <v>37</v>
      </c>
      <c r="B35" s="33">
        <v>14.13</v>
      </c>
      <c r="C35" s="33">
        <v>19.89</v>
      </c>
      <c r="D35" s="32">
        <v>19.239999999999998</v>
      </c>
    </row>
    <row r="36" spans="1:4" ht="14.1" customHeight="1">
      <c r="A36" s="31" t="s">
        <v>36</v>
      </c>
    </row>
    <row r="37" spans="1:4" ht="16.649999999999999" customHeight="1">
      <c r="A37" s="31" t="s">
        <v>35</v>
      </c>
      <c r="B37" s="30">
        <v>397.7</v>
      </c>
      <c r="C37" s="30">
        <v>393.8</v>
      </c>
      <c r="D37" s="29">
        <v>393.3</v>
      </c>
    </row>
    <row r="38" spans="1:4" ht="16.649999999999999" customHeight="1">
      <c r="A38" s="31" t="s">
        <v>34</v>
      </c>
      <c r="B38" s="30">
        <v>398</v>
      </c>
      <c r="C38" s="30">
        <v>394.1</v>
      </c>
      <c r="D38" s="29">
        <v>393.6</v>
      </c>
    </row>
    <row r="39" spans="1:4" ht="16.649999999999999" customHeight="1"/>
    <row r="40" spans="1:4" ht="16.649999999999999" customHeight="1"/>
    <row r="41" spans="1:4" ht="16.649999999999999" customHeight="1"/>
    <row r="42" spans="1:4" ht="16.649999999999999" customHeight="1"/>
    <row r="43" spans="1:4" ht="16.649999999999999" customHeight="1"/>
    <row r="44" spans="1:4" ht="16.649999999999999" customHeight="1"/>
    <row r="45" spans="1:4" ht="16.649999999999999" customHeight="1"/>
    <row r="46" spans="1:4" ht="16.649999999999999" customHeight="1"/>
    <row r="47" spans="1:4" ht="16.649999999999999" customHeight="1"/>
    <row r="48" spans="1:4" ht="16.649999999999999" customHeight="1"/>
    <row r="49" ht="16.649999999999999" customHeight="1"/>
    <row r="50" ht="16.649999999999999" customHeight="1"/>
    <row r="51" ht="16.649999999999999" customHeight="1"/>
    <row r="52" ht="16.649999999999999" customHeight="1"/>
    <row r="53" ht="16.649999999999999" customHeight="1"/>
    <row r="54" ht="16.649999999999999" customHeight="1"/>
    <row r="55" ht="16.649999999999999" customHeight="1"/>
    <row r="56" ht="16.649999999999999" customHeight="1"/>
    <row r="57" ht="16.649999999999999" customHeight="1"/>
    <row r="58" ht="16.649999999999999" customHeight="1"/>
    <row r="59" ht="16.649999999999999" customHeight="1"/>
    <row r="60" ht="16.649999999999999" customHeight="1"/>
    <row r="61" ht="16.649999999999999" customHeight="1"/>
    <row r="62" ht="16.649999999999999" customHeight="1"/>
    <row r="63" ht="16.649999999999999" customHeight="1"/>
    <row r="64" ht="16.649999999999999" customHeight="1"/>
    <row r="65" ht="16.649999999999999" customHeight="1"/>
    <row r="66" ht="16.649999999999999" customHeight="1"/>
    <row r="67" ht="16.649999999999999" customHeight="1"/>
    <row r="68" ht="16.649999999999999" customHeight="1"/>
    <row r="69" ht="16.649999999999999" customHeight="1"/>
    <row r="70" ht="16.649999999999999" customHeight="1"/>
    <row r="71" ht="16.649999999999999" customHeight="1"/>
    <row r="72" ht="16.649999999999999" customHeight="1"/>
    <row r="73" ht="16.649999999999999" customHeight="1"/>
    <row r="74" ht="16.649999999999999" customHeight="1"/>
    <row r="75" ht="16.649999999999999" customHeight="1"/>
    <row r="76" ht="16.649999999999999" customHeight="1"/>
    <row r="77" ht="16.649999999999999" customHeight="1"/>
    <row r="78" ht="16.649999999999999" customHeight="1"/>
    <row r="79" ht="16.649999999999999" customHeight="1"/>
    <row r="80" ht="16.649999999999999" customHeight="1"/>
    <row r="81" ht="16.649999999999999" customHeight="1"/>
    <row r="82" ht="16.649999999999999" customHeight="1"/>
    <row r="83" ht="16.649999999999999" customHeight="1"/>
    <row r="84" ht="16.649999999999999" customHeight="1"/>
    <row r="85" ht="16.649999999999999" customHeight="1"/>
    <row r="86" ht="16.649999999999999" customHeight="1"/>
    <row r="87" ht="16.649999999999999" customHeight="1"/>
    <row r="88" ht="16.649999999999999" customHeight="1"/>
    <row r="89" ht="16.649999999999999" customHeight="1"/>
    <row r="90" ht="16.649999999999999" customHeight="1"/>
    <row r="91" ht="16.649999999999999" customHeight="1"/>
    <row r="92" ht="16.649999999999999" customHeight="1"/>
    <row r="93" ht="16.649999999999999" customHeight="1"/>
    <row r="94" ht="16.649999999999999" customHeight="1"/>
    <row r="95" ht="16.649999999999999" customHeight="1"/>
    <row r="96" ht="16.649999999999999" customHeight="1"/>
    <row r="97" ht="16.649999999999999" customHeight="1"/>
    <row r="98" ht="16.649999999999999" customHeight="1"/>
    <row r="99" ht="16.649999999999999" customHeight="1"/>
    <row r="100" ht="16.649999999999999" customHeight="1"/>
    <row r="101" ht="16.649999999999999" customHeight="1"/>
    <row r="102" ht="16.649999999999999" customHeight="1"/>
    <row r="103" ht="16.649999999999999" customHeight="1"/>
    <row r="104" ht="16.649999999999999" customHeight="1"/>
  </sheetData>
  <mergeCells count="3">
    <mergeCell ref="A2:D2"/>
    <mergeCell ref="A4:D4"/>
    <mergeCell ref="A6:D6"/>
  </mergeCells>
  <pageMargins left="0.75" right="0.75" top="1" bottom="1" header="0.5" footer="0.5"/>
  <headerFooter>
    <oddFooter>&amp;R_x000D_&amp;1#&amp;"Arial"&amp;7&amp;K000000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8FC0-0920-4A55-BEF0-2EF6BA8A4003}">
  <dimension ref="A1:D98"/>
  <sheetViews>
    <sheetView showGridLines="0" showRuler="0" workbookViewId="0"/>
  </sheetViews>
  <sheetFormatPr defaultColWidth="12.62890625" defaultRowHeight="12.3"/>
  <cols>
    <col min="1" max="1" width="49.47265625" style="28" customWidth="1"/>
    <col min="2" max="25" width="19.05078125" style="28" customWidth="1"/>
    <col min="26" max="16384" width="12.62890625" style="28"/>
  </cols>
  <sheetData>
    <row r="1" spans="1:4" ht="16.649999999999999" customHeight="1">
      <c r="A1" s="47" t="s">
        <v>63</v>
      </c>
    </row>
    <row r="2" spans="1:4" ht="32.4" customHeight="1">
      <c r="A2" s="55" t="s">
        <v>62</v>
      </c>
      <c r="B2" s="56"/>
      <c r="C2" s="56"/>
      <c r="D2" s="56"/>
    </row>
    <row r="3" spans="1:4" ht="16.649999999999999" customHeight="1"/>
    <row r="4" spans="1:4" ht="14.1" customHeight="1">
      <c r="A4" s="55" t="s">
        <v>61</v>
      </c>
      <c r="B4" s="56"/>
      <c r="C4" s="56"/>
      <c r="D4" s="56"/>
    </row>
    <row r="5" spans="1:4" ht="16.649999999999999" customHeight="1"/>
    <row r="6" spans="1:4" ht="15.75" customHeight="1">
      <c r="A6" s="57" t="s">
        <v>75</v>
      </c>
      <c r="B6" s="56"/>
      <c r="C6" s="56"/>
      <c r="D6" s="56"/>
    </row>
    <row r="7" spans="1:4" ht="16.649999999999999" customHeight="1">
      <c r="A7" s="49"/>
      <c r="B7" s="49"/>
      <c r="C7" s="49"/>
      <c r="D7" s="49"/>
    </row>
    <row r="8" spans="1:4" ht="16.649999999999999" customHeight="1">
      <c r="A8" s="45" t="s">
        <v>74</v>
      </c>
      <c r="B8" s="48">
        <v>2022</v>
      </c>
      <c r="C8" s="48">
        <v>2023</v>
      </c>
      <c r="D8" s="48">
        <v>2024</v>
      </c>
    </row>
    <row r="9" spans="1:4" ht="16.649999999999999" customHeight="1">
      <c r="A9" s="42" t="s">
        <v>39</v>
      </c>
      <c r="B9" s="41">
        <v>5624.2</v>
      </c>
      <c r="C9" s="41">
        <v>7839</v>
      </c>
      <c r="D9" s="40">
        <v>7571.6</v>
      </c>
    </row>
    <row r="10" spans="1:4" ht="16.649999999999999" customHeight="1"/>
    <row r="11" spans="1:4" ht="16.649999999999999" customHeight="1">
      <c r="A11" s="34" t="s">
        <v>73</v>
      </c>
    </row>
    <row r="12" spans="1:4" ht="13.35" customHeight="1">
      <c r="A12" s="31" t="s">
        <v>72</v>
      </c>
      <c r="B12" s="30">
        <v>37.700000000000003</v>
      </c>
      <c r="C12" s="30">
        <v>0.2</v>
      </c>
      <c r="D12" s="29">
        <v>-12.1</v>
      </c>
    </row>
    <row r="13" spans="1:4" ht="16.649999999999999" customHeight="1"/>
    <row r="14" spans="1:4" ht="16.649999999999999" customHeight="1">
      <c r="A14" s="34" t="s">
        <v>71</v>
      </c>
    </row>
    <row r="15" spans="1:4" ht="13.35" customHeight="1">
      <c r="A15" s="31" t="s">
        <v>70</v>
      </c>
      <c r="B15" s="30">
        <v>66</v>
      </c>
      <c r="C15" s="30">
        <v>-68.3</v>
      </c>
      <c r="D15" s="29">
        <v>91.9</v>
      </c>
    </row>
    <row r="16" spans="1:4" ht="16.649999999999999" customHeight="1"/>
    <row r="17" spans="1:4" ht="16.649999999999999" customHeight="1">
      <c r="A17" s="34" t="s">
        <v>69</v>
      </c>
    </row>
    <row r="18" spans="1:4" ht="16.649999999999999" customHeight="1">
      <c r="A18" s="31" t="s">
        <v>68</v>
      </c>
      <c r="B18" s="30">
        <v>57.6</v>
      </c>
      <c r="C18" s="30">
        <v>-15.8</v>
      </c>
      <c r="D18" s="29">
        <v>38.200000000000003</v>
      </c>
    </row>
    <row r="19" spans="1:4" ht="16.649999999999999" customHeight="1">
      <c r="A19" s="39" t="s">
        <v>67</v>
      </c>
      <c r="B19" s="38">
        <v>-66.5</v>
      </c>
      <c r="C19" s="38">
        <v>0.6</v>
      </c>
      <c r="D19" s="37">
        <v>-8.9</v>
      </c>
    </row>
    <row r="20" spans="1:4" ht="16.649999999999999" customHeight="1">
      <c r="A20" s="42" t="s">
        <v>66</v>
      </c>
      <c r="B20" s="41">
        <v>94.8</v>
      </c>
      <c r="C20" s="41">
        <v>-83.3</v>
      </c>
      <c r="D20" s="40">
        <v>109.1</v>
      </c>
    </row>
    <row r="21" spans="1:4" ht="16.649999999999999" customHeight="1"/>
    <row r="22" spans="1:4" ht="16.649999999999999" customHeight="1">
      <c r="A22" s="34" t="s">
        <v>65</v>
      </c>
      <c r="B22" s="30">
        <v>5719</v>
      </c>
      <c r="C22" s="30">
        <v>7755.7</v>
      </c>
      <c r="D22" s="29">
        <v>7680.7</v>
      </c>
    </row>
    <row r="23" spans="1:4" ht="16.649999999999999" customHeight="1">
      <c r="A23" s="31" t="s">
        <v>64</v>
      </c>
      <c r="B23" s="30">
        <v>5719</v>
      </c>
      <c r="C23" s="30">
        <v>7755.7</v>
      </c>
      <c r="D23" s="29">
        <v>7680.7</v>
      </c>
    </row>
    <row r="24" spans="1:4" ht="16.649999999999999" customHeight="1"/>
    <row r="25" spans="1:4" ht="16.649999999999999" customHeight="1"/>
    <row r="26" spans="1:4" ht="16.649999999999999" customHeight="1"/>
    <row r="27" spans="1:4" ht="16.649999999999999" customHeight="1"/>
    <row r="28" spans="1:4" ht="16.649999999999999" customHeight="1"/>
    <row r="29" spans="1:4" ht="16.649999999999999" customHeight="1"/>
    <row r="30" spans="1:4" ht="16.649999999999999" customHeight="1"/>
    <row r="31" spans="1:4" ht="16.649999999999999" customHeight="1"/>
    <row r="32" spans="1:4" ht="16.649999999999999" customHeight="1"/>
    <row r="33" ht="16.649999999999999" customHeight="1"/>
    <row r="34" ht="16.649999999999999" customHeight="1"/>
    <row r="35" ht="16.649999999999999" customHeight="1"/>
    <row r="36" ht="16.649999999999999" customHeight="1"/>
    <row r="37" ht="16.649999999999999" customHeight="1"/>
    <row r="38" ht="16.649999999999999" customHeight="1"/>
    <row r="39" ht="16.649999999999999" customHeight="1"/>
    <row r="40" ht="16.649999999999999" customHeight="1"/>
    <row r="41" ht="16.649999999999999" customHeight="1"/>
    <row r="42" ht="16.649999999999999" customHeight="1"/>
    <row r="43" ht="16.649999999999999" customHeight="1"/>
    <row r="44" ht="16.649999999999999" customHeight="1"/>
    <row r="45" ht="16.649999999999999" customHeight="1"/>
    <row r="46" ht="16.649999999999999" customHeight="1"/>
    <row r="47" ht="16.649999999999999" customHeight="1"/>
    <row r="48" ht="16.649999999999999" customHeight="1"/>
    <row r="49" ht="16.649999999999999" customHeight="1"/>
    <row r="50" ht="16.649999999999999" customHeight="1"/>
    <row r="51" ht="16.649999999999999" customHeight="1"/>
    <row r="52" ht="16.649999999999999" customHeight="1"/>
    <row r="53" ht="16.649999999999999" customHeight="1"/>
    <row r="54" ht="16.649999999999999" customHeight="1"/>
    <row r="55" ht="16.649999999999999" customHeight="1"/>
    <row r="56" ht="16.649999999999999" customHeight="1"/>
    <row r="57" ht="16.649999999999999" customHeight="1"/>
    <row r="58" ht="16.649999999999999" customHeight="1"/>
    <row r="59" ht="16.649999999999999" customHeight="1"/>
    <row r="60" ht="16.649999999999999" customHeight="1"/>
    <row r="61" ht="16.649999999999999" customHeight="1"/>
    <row r="62" ht="16.649999999999999" customHeight="1"/>
    <row r="63" ht="16.649999999999999" customHeight="1"/>
    <row r="64" ht="16.649999999999999" customHeight="1"/>
    <row r="65" ht="16.649999999999999" customHeight="1"/>
    <row r="66" ht="16.649999999999999" customHeight="1"/>
    <row r="67" ht="16.649999999999999" customHeight="1"/>
    <row r="68" ht="16.649999999999999" customHeight="1"/>
    <row r="69" ht="16.649999999999999" customHeight="1"/>
    <row r="70" ht="16.649999999999999" customHeight="1"/>
    <row r="71" ht="16.649999999999999" customHeight="1"/>
    <row r="72" ht="16.649999999999999" customHeight="1"/>
    <row r="73" ht="16.649999999999999" customHeight="1"/>
    <row r="74" ht="16.649999999999999" customHeight="1"/>
    <row r="75" ht="16.649999999999999" customHeight="1"/>
    <row r="76" ht="16.649999999999999" customHeight="1"/>
    <row r="77" ht="16.649999999999999" customHeight="1"/>
    <row r="78" ht="16.649999999999999" customHeight="1"/>
    <row r="79" ht="16.649999999999999" customHeight="1"/>
    <row r="80" ht="16.649999999999999" customHeight="1"/>
    <row r="81" ht="16.649999999999999" customHeight="1"/>
    <row r="82" ht="16.649999999999999" customHeight="1"/>
    <row r="83" ht="16.649999999999999" customHeight="1"/>
    <row r="84" ht="16.649999999999999" customHeight="1"/>
    <row r="85" ht="16.649999999999999" customHeight="1"/>
    <row r="86" ht="16.649999999999999" customHeight="1"/>
    <row r="87" ht="16.649999999999999" customHeight="1"/>
    <row r="88" ht="16.649999999999999" customHeight="1"/>
    <row r="89" ht="16.649999999999999" customHeight="1"/>
    <row r="90" ht="16.649999999999999" customHeight="1"/>
    <row r="91" ht="16.649999999999999" customHeight="1"/>
    <row r="92" ht="16.649999999999999" customHeight="1"/>
    <row r="93" ht="16.649999999999999" customHeight="1"/>
    <row r="94" ht="16.649999999999999" customHeight="1"/>
    <row r="95" ht="16.649999999999999" customHeight="1"/>
    <row r="96" ht="16.649999999999999" customHeight="1"/>
    <row r="97" ht="16.649999999999999" customHeight="1"/>
    <row r="98" ht="16.649999999999999" customHeight="1"/>
  </sheetData>
  <mergeCells count="3">
    <mergeCell ref="A2:D2"/>
    <mergeCell ref="A4:D4"/>
    <mergeCell ref="A6:D6"/>
  </mergeCells>
  <pageMargins left="0.75" right="0.75" top="1" bottom="1" header="0.5" footer="0.5"/>
  <headerFooter>
    <oddFooter>&amp;R_x000D_&amp;1#&amp;"Arial"&amp;7&amp;K000000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E2054-041A-4FC9-920D-1ECB1CA9F925}">
  <dimension ref="A1:D89"/>
  <sheetViews>
    <sheetView showGridLines="0" showRuler="0" workbookViewId="0"/>
  </sheetViews>
  <sheetFormatPr defaultColWidth="12.62890625" defaultRowHeight="12.3"/>
  <cols>
    <col min="1" max="1" width="56.9453125" style="28" customWidth="1"/>
    <col min="2" max="25" width="19.05078125" style="28" customWidth="1"/>
    <col min="26" max="16384" width="12.62890625" style="28"/>
  </cols>
  <sheetData>
    <row r="1" spans="1:4" ht="16.649999999999999" customHeight="1">
      <c r="A1" s="47" t="s">
        <v>63</v>
      </c>
    </row>
    <row r="2" spans="1:4" ht="32.549999999999997" customHeight="1">
      <c r="A2" s="55" t="s">
        <v>62</v>
      </c>
      <c r="B2" s="56"/>
      <c r="C2" s="56"/>
      <c r="D2" s="56"/>
    </row>
    <row r="3" spans="1:4" ht="16.649999999999999" customHeight="1"/>
    <row r="4" spans="1:4" ht="14.1" customHeight="1">
      <c r="A4" s="55" t="s">
        <v>61</v>
      </c>
      <c r="B4" s="56"/>
      <c r="C4" s="56"/>
      <c r="D4" s="56"/>
    </row>
    <row r="5" spans="1:4" ht="16.649999999999999" customHeight="1"/>
    <row r="6" spans="1:4" ht="15.75" customHeight="1">
      <c r="A6" s="57" t="s">
        <v>117</v>
      </c>
      <c r="B6" s="56"/>
      <c r="C6" s="56"/>
    </row>
    <row r="7" spans="1:4" ht="16.649999999999999" customHeight="1">
      <c r="A7" s="50"/>
      <c r="B7" s="50"/>
      <c r="C7" s="50"/>
    </row>
    <row r="8" spans="1:4" ht="16.649999999999999" customHeight="1">
      <c r="A8" s="45" t="s">
        <v>116</v>
      </c>
      <c r="B8" s="48">
        <v>2023</v>
      </c>
      <c r="C8" s="48">
        <v>2024</v>
      </c>
    </row>
    <row r="9" spans="1:4" ht="16.649999999999999" customHeight="1">
      <c r="A9" s="36"/>
      <c r="B9" s="35"/>
      <c r="C9" s="35"/>
    </row>
    <row r="10" spans="1:4" ht="16.649999999999999" customHeight="1">
      <c r="A10" s="34" t="s">
        <v>115</v>
      </c>
    </row>
    <row r="11" spans="1:4" ht="16.649999999999999" customHeight="1">
      <c r="A11" s="31" t="s">
        <v>114</v>
      </c>
      <c r="B11" s="30">
        <v>7004.7</v>
      </c>
      <c r="C11" s="29">
        <v>12735.9</v>
      </c>
    </row>
    <row r="12" spans="1:4" ht="16.649999999999999" customHeight="1">
      <c r="A12" s="31" t="s">
        <v>113</v>
      </c>
      <c r="B12" s="30">
        <v>5.4</v>
      </c>
      <c r="C12" s="29">
        <v>5.4</v>
      </c>
    </row>
    <row r="13" spans="1:4" ht="16.649999999999999" customHeight="1">
      <c r="A13" s="31" t="s">
        <v>112</v>
      </c>
      <c r="B13" s="30">
        <v>4334.1000000000004</v>
      </c>
      <c r="C13" s="29">
        <v>4477.5</v>
      </c>
    </row>
    <row r="14" spans="1:4" ht="16.649999999999999" customHeight="1">
      <c r="A14" s="31" t="s">
        <v>107</v>
      </c>
      <c r="B14" s="30">
        <v>1379.2</v>
      </c>
      <c r="C14" s="29">
        <v>82.6</v>
      </c>
    </row>
    <row r="15" spans="1:4" ht="16.649999999999999" customHeight="1">
      <c r="A15" s="31" t="s">
        <v>111</v>
      </c>
      <c r="B15" s="30">
        <v>1001.2</v>
      </c>
      <c r="C15" s="29">
        <v>283.60000000000002</v>
      </c>
    </row>
    <row r="16" spans="1:4" ht="16.649999999999999" customHeight="1">
      <c r="A16" s="31" t="s">
        <v>110</v>
      </c>
      <c r="B16" s="30">
        <v>240.1</v>
      </c>
      <c r="C16" s="29">
        <v>320.60000000000002</v>
      </c>
    </row>
    <row r="17" spans="1:3" ht="16.649999999999999" customHeight="1">
      <c r="A17" s="31" t="s">
        <v>109</v>
      </c>
      <c r="B17" s="30">
        <v>8850.7000000000007</v>
      </c>
      <c r="C17" s="29">
        <v>10891.5</v>
      </c>
    </row>
    <row r="18" spans="1:3" ht="16.649999999999999" customHeight="1">
      <c r="A18" s="39" t="s">
        <v>104</v>
      </c>
      <c r="B18" s="38">
        <v>1578.5</v>
      </c>
      <c r="C18" s="37">
        <v>1940.3</v>
      </c>
    </row>
    <row r="19" spans="1:3" ht="16.649999999999999" customHeight="1">
      <c r="A19" s="42" t="s">
        <v>108</v>
      </c>
      <c r="B19" s="41">
        <v>24393.9</v>
      </c>
      <c r="C19" s="40">
        <v>30737.4</v>
      </c>
    </row>
    <row r="20" spans="1:3" ht="16.649999999999999" customHeight="1"/>
    <row r="21" spans="1:3" ht="16.649999999999999" customHeight="1">
      <c r="A21" s="31" t="s">
        <v>107</v>
      </c>
      <c r="B21" s="30">
        <v>60.6</v>
      </c>
      <c r="C21" s="29">
        <v>317.2</v>
      </c>
    </row>
    <row r="22" spans="1:3" ht="16.649999999999999" customHeight="1">
      <c r="A22" s="31" t="s">
        <v>106</v>
      </c>
      <c r="B22" s="30">
        <v>1872.3</v>
      </c>
      <c r="C22" s="29">
        <v>1940.7</v>
      </c>
    </row>
    <row r="23" spans="1:3" ht="16.649999999999999" customHeight="1">
      <c r="A23" s="31" t="s">
        <v>105</v>
      </c>
      <c r="B23" s="30">
        <v>929.2</v>
      </c>
      <c r="C23" s="29">
        <v>1456.6</v>
      </c>
    </row>
    <row r="24" spans="1:3" ht="16.649999999999999" customHeight="1">
      <c r="A24" s="31" t="s">
        <v>104</v>
      </c>
      <c r="B24" s="30">
        <v>651.79999999999995</v>
      </c>
      <c r="C24" s="29">
        <v>790.8</v>
      </c>
    </row>
    <row r="25" spans="1:3" ht="16.649999999999999" customHeight="1">
      <c r="A25" s="31" t="s">
        <v>103</v>
      </c>
      <c r="B25" s="30">
        <v>919.6</v>
      </c>
      <c r="C25" s="29">
        <v>903</v>
      </c>
    </row>
    <row r="26" spans="1:3" ht="16.649999999999999" customHeight="1">
      <c r="A26" s="31" t="s">
        <v>102</v>
      </c>
      <c r="B26" s="30">
        <v>4588.6000000000004</v>
      </c>
      <c r="C26" s="29">
        <v>4588.6000000000004</v>
      </c>
    </row>
    <row r="27" spans="1:3" ht="16.649999999999999" customHeight="1">
      <c r="A27" s="31" t="s">
        <v>101</v>
      </c>
      <c r="B27" s="30">
        <v>741.7</v>
      </c>
      <c r="C27" s="29">
        <v>621.29999999999995</v>
      </c>
    </row>
    <row r="28" spans="1:3" ht="16.649999999999999" customHeight="1">
      <c r="A28" s="31" t="s">
        <v>100</v>
      </c>
      <c r="B28" s="30">
        <v>5493.2</v>
      </c>
      <c r="C28" s="29">
        <v>6846.8</v>
      </c>
    </row>
    <row r="29" spans="1:3" ht="16.649999999999999" customHeight="1">
      <c r="A29" s="39" t="s">
        <v>99</v>
      </c>
      <c r="B29" s="38">
        <v>306.60000000000002</v>
      </c>
      <c r="C29" s="37">
        <v>387.2</v>
      </c>
    </row>
    <row r="30" spans="1:3" ht="16.649999999999999" customHeight="1">
      <c r="A30" s="42" t="s">
        <v>98</v>
      </c>
      <c r="B30" s="41">
        <v>15563.6</v>
      </c>
      <c r="C30" s="40">
        <v>17852.2</v>
      </c>
    </row>
    <row r="31" spans="1:3" ht="16.649999999999999" customHeight="1"/>
    <row r="32" spans="1:3" ht="16.649999999999999" customHeight="1">
      <c r="A32" s="34" t="s">
        <v>97</v>
      </c>
      <c r="B32" s="30">
        <v>39957.5</v>
      </c>
      <c r="C32" s="29">
        <v>48589.599999999999</v>
      </c>
    </row>
    <row r="33" spans="1:3" ht="16.649999999999999" customHeight="1"/>
    <row r="34" spans="1:3" ht="16.649999999999999" customHeight="1">
      <c r="A34" s="34" t="s">
        <v>96</v>
      </c>
    </row>
    <row r="35" spans="1:3" ht="16.649999999999999" customHeight="1">
      <c r="A35" s="31" t="s">
        <v>95</v>
      </c>
      <c r="B35" s="30">
        <v>2347.3000000000002</v>
      </c>
      <c r="C35" s="29">
        <v>3500.4</v>
      </c>
    </row>
    <row r="36" spans="1:3" ht="16.649999999999999" customHeight="1">
      <c r="A36" s="31" t="s">
        <v>88</v>
      </c>
      <c r="B36" s="30">
        <v>2177.4</v>
      </c>
      <c r="C36" s="29">
        <v>2686.6</v>
      </c>
    </row>
    <row r="37" spans="1:3" ht="16.649999999999999" customHeight="1">
      <c r="A37" s="31" t="s">
        <v>94</v>
      </c>
      <c r="B37" s="30">
        <v>308.89999999999998</v>
      </c>
      <c r="C37" s="29">
        <v>283.3</v>
      </c>
    </row>
    <row r="38" spans="1:3" ht="16.649999999999999" customHeight="1">
      <c r="A38" s="31" t="s">
        <v>93</v>
      </c>
      <c r="B38" s="30">
        <v>0.1</v>
      </c>
      <c r="C38" s="29">
        <v>1010.3</v>
      </c>
    </row>
    <row r="39" spans="1:3" ht="16.649999999999999" customHeight="1">
      <c r="A39" s="39" t="s">
        <v>89</v>
      </c>
      <c r="B39" s="38">
        <v>11441</v>
      </c>
      <c r="C39" s="37">
        <v>12570.8</v>
      </c>
    </row>
    <row r="40" spans="1:3" ht="16.649999999999999" customHeight="1">
      <c r="A40" s="42" t="s">
        <v>92</v>
      </c>
      <c r="B40" s="41">
        <v>16274.7</v>
      </c>
      <c r="C40" s="40">
        <v>20051.400000000001</v>
      </c>
    </row>
    <row r="41" spans="1:3" ht="16.649999999999999" customHeight="1"/>
    <row r="42" spans="1:3" ht="16.649999999999999" customHeight="1">
      <c r="A42" s="31" t="s">
        <v>91</v>
      </c>
      <c r="B42" s="30">
        <v>4631.5</v>
      </c>
      <c r="C42" s="29">
        <v>3677.3</v>
      </c>
    </row>
    <row r="43" spans="1:3" ht="16.649999999999999" customHeight="1">
      <c r="A43" s="31" t="s">
        <v>90</v>
      </c>
      <c r="B43" s="30">
        <v>372.2</v>
      </c>
      <c r="C43" s="29">
        <v>299.2</v>
      </c>
    </row>
    <row r="44" spans="1:3" ht="16.649999999999999" customHeight="1">
      <c r="A44" s="31" t="s">
        <v>89</v>
      </c>
      <c r="B44" s="30">
        <v>4825.5</v>
      </c>
      <c r="C44" s="29">
        <v>5625.4</v>
      </c>
    </row>
    <row r="45" spans="1:3" ht="16.649999999999999" customHeight="1">
      <c r="A45" s="39" t="s">
        <v>88</v>
      </c>
      <c r="B45" s="38">
        <v>401.2</v>
      </c>
      <c r="C45" s="37">
        <v>459.5</v>
      </c>
    </row>
    <row r="46" spans="1:3" ht="16.649999999999999" customHeight="1">
      <c r="A46" s="42" t="s">
        <v>87</v>
      </c>
      <c r="B46" s="41">
        <v>10230.4</v>
      </c>
      <c r="C46" s="40">
        <v>10061.4</v>
      </c>
    </row>
    <row r="47" spans="1:3" ht="16.649999999999999" customHeight="1"/>
    <row r="48" spans="1:3" ht="16.649999999999999" customHeight="1">
      <c r="A48" s="34" t="s">
        <v>86</v>
      </c>
      <c r="B48" s="30">
        <v>26505.1</v>
      </c>
      <c r="C48" s="29">
        <v>30112.799999999999</v>
      </c>
    </row>
    <row r="49" spans="1:3" ht="16.649999999999999" customHeight="1"/>
    <row r="50" spans="1:3" ht="16.649999999999999" customHeight="1">
      <c r="A50" s="31" t="s">
        <v>85</v>
      </c>
    </row>
    <row r="51" spans="1:3" ht="13.35" customHeight="1">
      <c r="A51" s="31" t="s">
        <v>84</v>
      </c>
    </row>
    <row r="52" spans="1:3" ht="13.35" customHeight="1">
      <c r="A52" s="31" t="s">
        <v>83</v>
      </c>
    </row>
    <row r="53" spans="1:3" ht="16.649999999999999" customHeight="1">
      <c r="A53" s="31" t="s">
        <v>82</v>
      </c>
      <c r="B53" s="30">
        <v>36</v>
      </c>
      <c r="C53" s="29">
        <v>35.4</v>
      </c>
    </row>
    <row r="54" spans="1:3" ht="16.649999999999999" customHeight="1">
      <c r="A54" s="31" t="s">
        <v>81</v>
      </c>
      <c r="B54" s="30">
        <v>3998.1</v>
      </c>
      <c r="C54" s="29">
        <v>4049</v>
      </c>
    </row>
    <row r="55" spans="1:3" ht="16.649999999999999" customHeight="1">
      <c r="A55" s="31" t="s">
        <v>80</v>
      </c>
      <c r="B55" s="30">
        <v>-3306.2</v>
      </c>
      <c r="C55" s="29">
        <v>-476</v>
      </c>
    </row>
    <row r="56" spans="1:3" ht="16.649999999999999" customHeight="1">
      <c r="A56" s="31" t="s">
        <v>79</v>
      </c>
      <c r="B56" s="30">
        <v>12379.5</v>
      </c>
      <c r="C56" s="29">
        <v>14414.3</v>
      </c>
    </row>
    <row r="57" spans="1:3" ht="16.649999999999999" customHeight="1">
      <c r="A57" s="39" t="s">
        <v>78</v>
      </c>
      <c r="B57" s="38">
        <v>345</v>
      </c>
      <c r="C57" s="37">
        <v>454.1</v>
      </c>
    </row>
    <row r="58" spans="1:3" ht="16.649999999999999" customHeight="1">
      <c r="A58" s="42" t="s">
        <v>77</v>
      </c>
      <c r="B58" s="41">
        <v>13452.4</v>
      </c>
      <c r="C58" s="40">
        <v>18476.8</v>
      </c>
    </row>
    <row r="59" spans="1:3" ht="16.649999999999999" customHeight="1"/>
    <row r="60" spans="1:3" ht="16.649999999999999" customHeight="1">
      <c r="A60" s="34" t="s">
        <v>76</v>
      </c>
      <c r="B60" s="30">
        <v>39957.5</v>
      </c>
      <c r="C60" s="29">
        <v>48589.599999999999</v>
      </c>
    </row>
    <row r="61" spans="1:3" ht="16.649999999999999" customHeight="1"/>
    <row r="62" spans="1:3" ht="16.649999999999999" customHeight="1"/>
    <row r="63" spans="1:3" ht="16.649999999999999" customHeight="1"/>
    <row r="64" spans="1:3" ht="16.649999999999999" customHeight="1"/>
    <row r="65" ht="16.649999999999999" customHeight="1"/>
    <row r="66" ht="16.649999999999999" customHeight="1"/>
    <row r="67" ht="16.649999999999999" customHeight="1"/>
    <row r="68" ht="16.649999999999999" customHeight="1"/>
    <row r="69" ht="16.649999999999999" customHeight="1"/>
    <row r="70" ht="16.649999999999999" customHeight="1"/>
    <row r="71" ht="16.649999999999999" customHeight="1"/>
    <row r="72" ht="16.649999999999999" customHeight="1"/>
    <row r="73" ht="16.649999999999999" customHeight="1"/>
    <row r="74" ht="16.649999999999999" customHeight="1"/>
    <row r="75" ht="16.649999999999999" customHeight="1"/>
    <row r="76" ht="16.649999999999999" customHeight="1"/>
    <row r="77" ht="16.649999999999999" customHeight="1"/>
    <row r="78" ht="16.649999999999999" customHeight="1"/>
    <row r="79" ht="16.649999999999999" customHeight="1"/>
    <row r="80" ht="16.649999999999999" customHeight="1"/>
    <row r="81" ht="16.649999999999999" customHeight="1"/>
    <row r="82" ht="16.649999999999999" customHeight="1"/>
    <row r="83" ht="16.649999999999999" customHeight="1"/>
    <row r="84" ht="16.649999999999999" customHeight="1"/>
    <row r="85" ht="16.649999999999999" customHeight="1"/>
    <row r="86" ht="16.649999999999999" customHeight="1"/>
    <row r="87" ht="16.649999999999999" customHeight="1"/>
    <row r="88" ht="16.649999999999999" customHeight="1"/>
    <row r="89" ht="16.649999999999999" customHeight="1"/>
  </sheetData>
  <mergeCells count="3">
    <mergeCell ref="A2:D2"/>
    <mergeCell ref="A4:D4"/>
    <mergeCell ref="A6:C6"/>
  </mergeCells>
  <pageMargins left="0.75" right="0.75" top="1" bottom="1" header="0.5" footer="0.5"/>
  <headerFooter>
    <oddFooter>&amp;R_x000D_&amp;1#&amp;"Arial"&amp;7&amp;K000000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9D98C-459A-4294-BDA6-877AA3621118}">
  <dimension ref="A1:H83"/>
  <sheetViews>
    <sheetView showGridLines="0" showRuler="0" workbookViewId="0"/>
  </sheetViews>
  <sheetFormatPr defaultColWidth="12.62890625" defaultRowHeight="12.3"/>
  <cols>
    <col min="1" max="1" width="48.9453125" style="28" customWidth="1"/>
    <col min="2" max="4" width="14.62890625" style="28" customWidth="1"/>
    <col min="5" max="5" width="20" style="28" customWidth="1"/>
    <col min="6" max="6" width="14.62890625" style="28" customWidth="1"/>
    <col min="7" max="7" width="15.7890625" style="28" customWidth="1"/>
    <col min="8" max="8" width="14.62890625" style="28" customWidth="1"/>
    <col min="9" max="25" width="19.05078125" style="28" customWidth="1"/>
    <col min="26" max="16384" width="12.62890625" style="28"/>
  </cols>
  <sheetData>
    <row r="1" spans="1:8" ht="16.649999999999999" customHeight="1">
      <c r="A1" s="47" t="s">
        <v>63</v>
      </c>
    </row>
    <row r="2" spans="1:8" ht="32.4" customHeight="1">
      <c r="A2" s="55" t="s">
        <v>62</v>
      </c>
      <c r="B2" s="56"/>
      <c r="C2" s="56"/>
      <c r="D2" s="56"/>
      <c r="E2" s="56"/>
      <c r="F2" s="56"/>
      <c r="G2" s="56"/>
      <c r="H2" s="56"/>
    </row>
    <row r="3" spans="1:8" ht="16.649999999999999" customHeight="1"/>
    <row r="4" spans="1:8" ht="14.1" customHeight="1">
      <c r="A4" s="55" t="s">
        <v>61</v>
      </c>
      <c r="B4" s="56"/>
      <c r="C4" s="56"/>
      <c r="D4" s="56"/>
      <c r="E4" s="56"/>
      <c r="F4" s="56"/>
      <c r="G4" s="56"/>
      <c r="H4" s="56"/>
    </row>
    <row r="5" spans="1:8" ht="16.649999999999999" customHeight="1"/>
    <row r="6" spans="1:8" ht="15.75" customHeight="1">
      <c r="A6" s="57" t="s">
        <v>135</v>
      </c>
      <c r="B6" s="56"/>
      <c r="C6" s="56"/>
      <c r="D6" s="56"/>
    </row>
    <row r="7" spans="1:8" ht="16.649999999999999" customHeight="1">
      <c r="A7" s="35"/>
      <c r="B7" s="35"/>
      <c r="C7" s="35"/>
      <c r="D7" s="35"/>
      <c r="E7" s="35"/>
      <c r="F7" s="35"/>
      <c r="G7" s="35"/>
      <c r="H7" s="35"/>
    </row>
    <row r="8" spans="1:8" ht="14.1" customHeight="1">
      <c r="B8" s="58" t="s">
        <v>82</v>
      </c>
      <c r="C8" s="56"/>
    </row>
    <row r="9" spans="1:8" ht="13.35" customHeight="1">
      <c r="A9" s="45" t="s">
        <v>134</v>
      </c>
      <c r="B9" s="51" t="s">
        <v>133</v>
      </c>
      <c r="C9" s="51" t="s">
        <v>132</v>
      </c>
      <c r="D9" s="51" t="s">
        <v>81</v>
      </c>
      <c r="E9" s="51" t="s">
        <v>80</v>
      </c>
      <c r="F9" s="51" t="s">
        <v>79</v>
      </c>
      <c r="G9" s="51" t="s">
        <v>131</v>
      </c>
      <c r="H9" s="51" t="s">
        <v>130</v>
      </c>
    </row>
    <row r="10" spans="1:8" ht="16.649999999999999" customHeight="1">
      <c r="A10" s="42" t="s">
        <v>129</v>
      </c>
      <c r="B10" s="40">
        <v>402.6</v>
      </c>
      <c r="C10" s="40">
        <v>36.5</v>
      </c>
      <c r="D10" s="40">
        <v>3876.1</v>
      </c>
      <c r="E10" s="40">
        <v>-2422.8000000000002</v>
      </c>
      <c r="F10" s="40">
        <v>8317.2999999999993</v>
      </c>
      <c r="G10" s="40">
        <v>333.5</v>
      </c>
      <c r="H10" s="40">
        <v>10140.6</v>
      </c>
    </row>
    <row r="11" spans="1:8" ht="16.649999999999999" customHeight="1">
      <c r="A11" s="34" t="s">
        <v>126</v>
      </c>
    </row>
    <row r="12" spans="1:8" ht="16.649999999999999" customHeight="1">
      <c r="A12" s="31" t="s">
        <v>39</v>
      </c>
      <c r="B12" s="30">
        <v>0</v>
      </c>
      <c r="C12" s="30">
        <v>0</v>
      </c>
      <c r="D12" s="30">
        <v>0</v>
      </c>
      <c r="E12" s="30">
        <v>0</v>
      </c>
      <c r="F12" s="30">
        <v>5624.2</v>
      </c>
      <c r="G12" s="30">
        <v>0</v>
      </c>
      <c r="H12" s="29">
        <v>5624.2</v>
      </c>
    </row>
    <row r="13" spans="1:8" ht="16.649999999999999" customHeight="1">
      <c r="A13" s="31" t="s">
        <v>72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  <c r="G13" s="30">
        <v>37.700000000000003</v>
      </c>
      <c r="H13" s="29">
        <v>37.700000000000003</v>
      </c>
    </row>
    <row r="14" spans="1:8" ht="16.649999999999999" customHeight="1">
      <c r="A14" s="31" t="s">
        <v>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  <c r="G14" s="30">
        <v>66</v>
      </c>
      <c r="H14" s="29">
        <v>66</v>
      </c>
    </row>
    <row r="15" spans="1:8" ht="16.649999999999999" customHeight="1">
      <c r="A15" s="31" t="s">
        <v>125</v>
      </c>
      <c r="B15" s="30">
        <v>0</v>
      </c>
      <c r="C15" s="30">
        <v>0</v>
      </c>
      <c r="D15" s="30">
        <v>0</v>
      </c>
      <c r="E15" s="30">
        <v>0</v>
      </c>
      <c r="F15" s="30">
        <v>0</v>
      </c>
      <c r="G15" s="30">
        <v>-8.9</v>
      </c>
      <c r="H15" s="29">
        <v>-8.9</v>
      </c>
    </row>
    <row r="16" spans="1:8" ht="16.649999999999999" customHeight="1">
      <c r="A16" s="34" t="s">
        <v>124</v>
      </c>
      <c r="B16" s="30">
        <v>0</v>
      </c>
      <c r="C16" s="30">
        <v>0</v>
      </c>
      <c r="D16" s="30">
        <v>0</v>
      </c>
      <c r="E16" s="30">
        <v>0</v>
      </c>
      <c r="F16" s="30">
        <v>5624.2</v>
      </c>
      <c r="G16" s="30">
        <v>94.8</v>
      </c>
      <c r="H16" s="29">
        <v>5719</v>
      </c>
    </row>
    <row r="17" spans="1:8" ht="16.649999999999999" customHeight="1">
      <c r="A17" s="31" t="s">
        <v>123</v>
      </c>
      <c r="B17" s="30">
        <v>-8.5</v>
      </c>
      <c r="C17" s="30">
        <v>0</v>
      </c>
      <c r="D17" s="30">
        <v>0</v>
      </c>
      <c r="E17" s="30">
        <v>-4639.7</v>
      </c>
      <c r="F17" s="30">
        <v>0</v>
      </c>
      <c r="G17" s="30">
        <v>0</v>
      </c>
      <c r="H17" s="29">
        <v>-4639.7</v>
      </c>
    </row>
    <row r="18" spans="1:8" ht="16.649999999999999" customHeight="1">
      <c r="A18" s="31" t="s">
        <v>122</v>
      </c>
      <c r="B18" s="30">
        <v>0</v>
      </c>
      <c r="C18" s="30">
        <v>-0.3</v>
      </c>
      <c r="D18" s="30">
        <v>0</v>
      </c>
      <c r="E18" s="30">
        <v>2333.6999999999998</v>
      </c>
      <c r="F18" s="30">
        <v>-2333.4</v>
      </c>
      <c r="G18" s="30">
        <v>0</v>
      </c>
      <c r="H18" s="29">
        <v>0</v>
      </c>
    </row>
    <row r="19" spans="1:8" ht="16.649999999999999" customHeight="1">
      <c r="A19" s="31" t="s">
        <v>121</v>
      </c>
      <c r="B19" s="30">
        <v>0</v>
      </c>
      <c r="C19" s="30">
        <v>0</v>
      </c>
      <c r="D19" s="30">
        <v>68.900000000000006</v>
      </c>
      <c r="E19" s="30">
        <v>0</v>
      </c>
      <c r="F19" s="30">
        <v>0</v>
      </c>
      <c r="G19" s="30">
        <v>0</v>
      </c>
      <c r="H19" s="29">
        <v>68.900000000000006</v>
      </c>
    </row>
    <row r="20" spans="1:8" ht="16.649999999999999" customHeight="1">
      <c r="A20" s="31" t="s">
        <v>120</v>
      </c>
      <c r="B20" s="30">
        <v>0.5</v>
      </c>
      <c r="C20" s="30">
        <v>0.1</v>
      </c>
      <c r="D20" s="30">
        <v>-4.2</v>
      </c>
      <c r="E20" s="30">
        <v>87.5</v>
      </c>
      <c r="F20" s="30">
        <v>-1.6</v>
      </c>
      <c r="G20" s="30">
        <v>0</v>
      </c>
      <c r="H20" s="29">
        <v>81.8</v>
      </c>
    </row>
    <row r="21" spans="1:8" ht="16.649999999999999" customHeight="1">
      <c r="A21" s="39" t="s">
        <v>119</v>
      </c>
      <c r="B21" s="38">
        <v>0</v>
      </c>
      <c r="C21" s="38">
        <v>0</v>
      </c>
      <c r="D21" s="38">
        <v>0</v>
      </c>
      <c r="E21" s="38">
        <v>0</v>
      </c>
      <c r="F21" s="38">
        <v>-2559.8000000000002</v>
      </c>
      <c r="G21" s="38">
        <v>0</v>
      </c>
      <c r="H21" s="37">
        <v>-2559.8000000000002</v>
      </c>
    </row>
    <row r="22" spans="1:8" ht="16.649999999999999" customHeight="1">
      <c r="A22" s="42" t="s">
        <v>128</v>
      </c>
      <c r="B22" s="40">
        <v>394.6</v>
      </c>
      <c r="C22" s="40">
        <v>36.299999999999997</v>
      </c>
      <c r="D22" s="40">
        <v>3940.8</v>
      </c>
      <c r="E22" s="40">
        <v>-4641.3</v>
      </c>
      <c r="F22" s="40">
        <v>9046.7000000000007</v>
      </c>
      <c r="G22" s="40">
        <v>428.3</v>
      </c>
      <c r="H22" s="40">
        <v>8810.7999999999993</v>
      </c>
    </row>
    <row r="23" spans="1:8" ht="16.649999999999999" customHeight="1"/>
    <row r="24" spans="1:8" ht="16.649999999999999" customHeight="1">
      <c r="A24" s="34" t="s">
        <v>126</v>
      </c>
    </row>
    <row r="25" spans="1:8" ht="16.649999999999999" customHeight="1">
      <c r="A25" s="31" t="s">
        <v>39</v>
      </c>
      <c r="B25" s="30">
        <v>0</v>
      </c>
      <c r="C25" s="30">
        <v>0</v>
      </c>
      <c r="D25" s="30">
        <v>0</v>
      </c>
      <c r="E25" s="30">
        <v>0</v>
      </c>
      <c r="F25" s="30">
        <v>7839</v>
      </c>
      <c r="G25" s="30">
        <v>0</v>
      </c>
      <c r="H25" s="29">
        <v>7839</v>
      </c>
    </row>
    <row r="26" spans="1:8" ht="16.649999999999999" customHeight="1">
      <c r="A26" s="31" t="s">
        <v>72</v>
      </c>
      <c r="B26" s="30">
        <v>0</v>
      </c>
      <c r="C26" s="30">
        <v>0</v>
      </c>
      <c r="D26" s="30">
        <v>0</v>
      </c>
      <c r="E26" s="30">
        <v>0</v>
      </c>
      <c r="F26" s="30">
        <v>0</v>
      </c>
      <c r="G26" s="30">
        <v>0.2</v>
      </c>
      <c r="H26" s="29">
        <v>0.2</v>
      </c>
    </row>
    <row r="27" spans="1:8" ht="16.649999999999999" customHeight="1">
      <c r="A27" s="31" t="s">
        <v>70</v>
      </c>
      <c r="B27" s="30">
        <v>0</v>
      </c>
      <c r="C27" s="30">
        <v>0</v>
      </c>
      <c r="D27" s="30">
        <v>0</v>
      </c>
      <c r="E27" s="30">
        <v>0</v>
      </c>
      <c r="F27" s="30">
        <v>0</v>
      </c>
      <c r="G27" s="30">
        <v>-68.3</v>
      </c>
      <c r="H27" s="29">
        <v>-68.3</v>
      </c>
    </row>
    <row r="28" spans="1:8" ht="16.649999999999999" customHeight="1">
      <c r="A28" s="31" t="s">
        <v>125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-15.2</v>
      </c>
      <c r="H28" s="29">
        <v>-15.2</v>
      </c>
    </row>
    <row r="29" spans="1:8" ht="16.649999999999999" customHeight="1">
      <c r="A29" s="34" t="s">
        <v>124</v>
      </c>
      <c r="B29" s="30">
        <v>0</v>
      </c>
      <c r="C29" s="30">
        <v>0</v>
      </c>
      <c r="D29" s="30">
        <v>0</v>
      </c>
      <c r="E29" s="30">
        <v>0</v>
      </c>
      <c r="F29" s="30">
        <v>7839</v>
      </c>
      <c r="G29" s="30">
        <v>-83.3</v>
      </c>
      <c r="H29" s="29">
        <v>7755.7</v>
      </c>
    </row>
    <row r="30" spans="1:8" ht="16.649999999999999" customHeight="1">
      <c r="A30" s="31" t="s">
        <v>123</v>
      </c>
      <c r="B30" s="30">
        <v>-1.6</v>
      </c>
      <c r="C30" s="30">
        <v>0</v>
      </c>
      <c r="D30" s="30">
        <v>0</v>
      </c>
      <c r="E30" s="30">
        <v>-1000</v>
      </c>
      <c r="F30" s="30">
        <v>0</v>
      </c>
      <c r="G30" s="30">
        <v>0</v>
      </c>
      <c r="H30" s="29">
        <v>-1000</v>
      </c>
    </row>
    <row r="31" spans="1:8" ht="16.649999999999999" customHeight="1">
      <c r="A31" s="31" t="s">
        <v>122</v>
      </c>
      <c r="B31" s="30">
        <v>0</v>
      </c>
      <c r="C31" s="30">
        <v>-0.3</v>
      </c>
      <c r="D31" s="30">
        <v>0</v>
      </c>
      <c r="E31" s="30">
        <v>2105.1</v>
      </c>
      <c r="F31" s="30">
        <v>-2104.8000000000002</v>
      </c>
      <c r="G31" s="30">
        <v>0</v>
      </c>
      <c r="H31" s="29">
        <v>0</v>
      </c>
    </row>
    <row r="32" spans="1:8" ht="16.649999999999999" customHeight="1">
      <c r="A32" s="31" t="s">
        <v>121</v>
      </c>
      <c r="B32" s="30">
        <v>0</v>
      </c>
      <c r="C32" s="30">
        <v>0</v>
      </c>
      <c r="D32" s="30">
        <v>134.80000000000001</v>
      </c>
      <c r="E32" s="30">
        <v>0</v>
      </c>
      <c r="F32" s="30">
        <v>0</v>
      </c>
      <c r="G32" s="30">
        <v>0</v>
      </c>
      <c r="H32" s="29">
        <v>134.80000000000001</v>
      </c>
    </row>
    <row r="33" spans="1:8" ht="16.649999999999999" customHeight="1">
      <c r="A33" s="31" t="s">
        <v>120</v>
      </c>
      <c r="B33" s="30">
        <v>0.5</v>
      </c>
      <c r="C33" s="30">
        <v>0</v>
      </c>
      <c r="D33" s="30">
        <v>-77.5</v>
      </c>
      <c r="E33" s="30">
        <v>230</v>
      </c>
      <c r="F33" s="30">
        <v>-53.1</v>
      </c>
      <c r="G33" s="30">
        <v>0</v>
      </c>
      <c r="H33" s="29">
        <v>99.4</v>
      </c>
    </row>
    <row r="34" spans="1:8" ht="16.649999999999999" customHeight="1">
      <c r="A34" s="39" t="s">
        <v>119</v>
      </c>
      <c r="B34" s="38">
        <v>0</v>
      </c>
      <c r="C34" s="38">
        <v>0</v>
      </c>
      <c r="D34" s="38">
        <v>0</v>
      </c>
      <c r="E34" s="38">
        <v>0</v>
      </c>
      <c r="F34" s="38">
        <v>-2348.3000000000002</v>
      </c>
      <c r="G34" s="38">
        <v>0</v>
      </c>
      <c r="H34" s="37">
        <v>-2348.3000000000002</v>
      </c>
    </row>
    <row r="35" spans="1:8" ht="16.649999999999999" customHeight="1">
      <c r="A35" s="42" t="s">
        <v>127</v>
      </c>
      <c r="B35" s="40">
        <v>393.5</v>
      </c>
      <c r="C35" s="40">
        <v>36</v>
      </c>
      <c r="D35" s="40">
        <v>3998.1</v>
      </c>
      <c r="E35" s="40">
        <v>-3306.2</v>
      </c>
      <c r="F35" s="40">
        <v>12379.5</v>
      </c>
      <c r="G35" s="40">
        <v>345</v>
      </c>
      <c r="H35" s="40">
        <v>13452.4</v>
      </c>
    </row>
    <row r="36" spans="1:8" ht="16.649999999999999" customHeight="1"/>
    <row r="37" spans="1:8" ht="16.649999999999999" customHeight="1">
      <c r="A37" s="34" t="s">
        <v>126</v>
      </c>
    </row>
    <row r="38" spans="1:8" ht="16.649999999999999" customHeight="1">
      <c r="A38" s="31" t="s">
        <v>39</v>
      </c>
      <c r="B38" s="30">
        <v>0</v>
      </c>
      <c r="C38" s="30">
        <v>0</v>
      </c>
      <c r="D38" s="30">
        <v>0</v>
      </c>
      <c r="E38" s="30">
        <v>0</v>
      </c>
      <c r="F38" s="30">
        <v>7571.6</v>
      </c>
      <c r="G38" s="30">
        <v>0</v>
      </c>
      <c r="H38" s="29">
        <v>7571.6</v>
      </c>
    </row>
    <row r="39" spans="1:8" ht="16.649999999999999" customHeight="1">
      <c r="A39" s="31" t="s">
        <v>72</v>
      </c>
      <c r="B39" s="30">
        <v>0</v>
      </c>
      <c r="C39" s="30">
        <v>0</v>
      </c>
      <c r="D39" s="30">
        <v>0</v>
      </c>
      <c r="E39" s="30">
        <v>0</v>
      </c>
      <c r="F39" s="30">
        <v>0</v>
      </c>
      <c r="G39" s="30">
        <v>-12.1</v>
      </c>
      <c r="H39" s="29">
        <v>-12.1</v>
      </c>
    </row>
    <row r="40" spans="1:8" ht="16.649999999999999" customHeight="1">
      <c r="A40" s="31" t="s">
        <v>70</v>
      </c>
      <c r="B40" s="30">
        <v>0</v>
      </c>
      <c r="C40" s="30">
        <v>0</v>
      </c>
      <c r="D40" s="30">
        <v>0</v>
      </c>
      <c r="E40" s="30">
        <v>0</v>
      </c>
      <c r="F40" s="30">
        <v>0</v>
      </c>
      <c r="G40" s="30">
        <v>91.9</v>
      </c>
      <c r="H40" s="29">
        <v>91.9</v>
      </c>
    </row>
    <row r="41" spans="1:8" ht="16.649999999999999" customHeight="1">
      <c r="A41" s="31" t="s">
        <v>125</v>
      </c>
      <c r="B41" s="30">
        <v>0</v>
      </c>
      <c r="C41" s="30">
        <v>0</v>
      </c>
      <c r="D41" s="30">
        <v>0</v>
      </c>
      <c r="E41" s="30">
        <v>0</v>
      </c>
      <c r="F41" s="30">
        <v>0</v>
      </c>
      <c r="G41" s="30">
        <v>29.3</v>
      </c>
      <c r="H41" s="29">
        <v>29.3</v>
      </c>
    </row>
    <row r="42" spans="1:8" ht="16.649999999999999" customHeight="1">
      <c r="A42" s="34" t="s">
        <v>124</v>
      </c>
      <c r="B42" s="30">
        <v>0</v>
      </c>
      <c r="C42" s="30">
        <v>0</v>
      </c>
      <c r="D42" s="30">
        <v>0</v>
      </c>
      <c r="E42" s="30">
        <v>0</v>
      </c>
      <c r="F42" s="30">
        <v>7571.6</v>
      </c>
      <c r="G42" s="30">
        <v>109.1</v>
      </c>
      <c r="H42" s="29">
        <v>7680.7</v>
      </c>
    </row>
    <row r="43" spans="1:8" ht="16.649999999999999" customHeight="1">
      <c r="A43" s="31" t="s">
        <v>123</v>
      </c>
      <c r="B43" s="30">
        <v>-0.6</v>
      </c>
      <c r="C43" s="30">
        <v>-0.1</v>
      </c>
      <c r="D43" s="30">
        <v>0</v>
      </c>
      <c r="E43" s="30">
        <v>-499.9</v>
      </c>
      <c r="F43" s="30">
        <v>0</v>
      </c>
      <c r="G43" s="30">
        <v>0</v>
      </c>
      <c r="H43" s="29">
        <v>-500</v>
      </c>
    </row>
    <row r="44" spans="1:8" ht="16.649999999999999" customHeight="1">
      <c r="A44" s="31" t="s">
        <v>122</v>
      </c>
      <c r="B44" s="30">
        <v>0</v>
      </c>
      <c r="C44" s="30">
        <v>-0.5</v>
      </c>
      <c r="D44" s="30">
        <v>0</v>
      </c>
      <c r="E44" s="30">
        <v>3050.4</v>
      </c>
      <c r="F44" s="30">
        <v>-3049.9</v>
      </c>
      <c r="G44" s="30">
        <v>0</v>
      </c>
      <c r="H44" s="29">
        <v>0</v>
      </c>
    </row>
    <row r="45" spans="1:8" ht="16.649999999999999" customHeight="1">
      <c r="A45" s="31" t="s">
        <v>121</v>
      </c>
      <c r="B45" s="30">
        <v>0</v>
      </c>
      <c r="C45" s="30">
        <v>0</v>
      </c>
      <c r="D45" s="30">
        <v>172.6</v>
      </c>
      <c r="E45" s="30">
        <v>0</v>
      </c>
      <c r="F45" s="30">
        <v>0</v>
      </c>
      <c r="G45" s="30">
        <v>0</v>
      </c>
      <c r="H45" s="29">
        <v>172.6</v>
      </c>
    </row>
    <row r="46" spans="1:8" ht="16.649999999999999" customHeight="1">
      <c r="A46" s="31" t="s">
        <v>120</v>
      </c>
      <c r="B46" s="30">
        <v>0.4</v>
      </c>
      <c r="C46" s="30">
        <v>0</v>
      </c>
      <c r="D46" s="30">
        <v>-121.7</v>
      </c>
      <c r="E46" s="30">
        <v>279.7</v>
      </c>
      <c r="F46" s="30">
        <v>-34</v>
      </c>
      <c r="G46" s="30">
        <v>0</v>
      </c>
      <c r="H46" s="29">
        <v>124</v>
      </c>
    </row>
    <row r="47" spans="1:8" ht="16.649999999999999" customHeight="1">
      <c r="A47" s="39" t="s">
        <v>119</v>
      </c>
      <c r="B47" s="38">
        <v>0</v>
      </c>
      <c r="C47" s="38">
        <v>0</v>
      </c>
      <c r="D47" s="38">
        <v>0</v>
      </c>
      <c r="E47" s="38">
        <v>0</v>
      </c>
      <c r="F47" s="38">
        <v>-2452.9</v>
      </c>
      <c r="G47" s="38">
        <v>0</v>
      </c>
      <c r="H47" s="37">
        <v>-2452.9</v>
      </c>
    </row>
    <row r="48" spans="1:8" ht="16.649999999999999" customHeight="1">
      <c r="A48" s="42" t="s">
        <v>118</v>
      </c>
      <c r="B48" s="40">
        <v>393.3</v>
      </c>
      <c r="C48" s="40">
        <v>35.4</v>
      </c>
      <c r="D48" s="40">
        <v>4049</v>
      </c>
      <c r="E48" s="40">
        <v>-476</v>
      </c>
      <c r="F48" s="40">
        <v>14414.3</v>
      </c>
      <c r="G48" s="40">
        <v>454.1</v>
      </c>
      <c r="H48" s="40">
        <v>18476.8</v>
      </c>
    </row>
    <row r="49" ht="16.649999999999999" customHeight="1"/>
    <row r="50" ht="16.649999999999999" customHeight="1"/>
    <row r="51" ht="16.649999999999999" customHeight="1"/>
    <row r="52" ht="16.649999999999999" customHeight="1"/>
    <row r="53" ht="16.649999999999999" customHeight="1"/>
    <row r="54" ht="16.649999999999999" customHeight="1"/>
    <row r="55" ht="16.649999999999999" customHeight="1"/>
    <row r="56" ht="16.649999999999999" customHeight="1"/>
    <row r="57" ht="16.649999999999999" customHeight="1"/>
    <row r="58" ht="16.649999999999999" customHeight="1"/>
    <row r="59" ht="16.649999999999999" customHeight="1"/>
    <row r="60" ht="16.649999999999999" customHeight="1"/>
    <row r="61" ht="16.649999999999999" customHeight="1"/>
    <row r="62" ht="16.649999999999999" customHeight="1"/>
    <row r="63" ht="16.649999999999999" customHeight="1"/>
    <row r="64" ht="16.649999999999999" customHeight="1"/>
    <row r="65" ht="16.649999999999999" customHeight="1"/>
    <row r="66" ht="16.649999999999999" customHeight="1"/>
    <row r="67" ht="16.649999999999999" customHeight="1"/>
    <row r="68" ht="16.649999999999999" customHeight="1"/>
    <row r="69" ht="16.649999999999999" customHeight="1"/>
    <row r="70" ht="16.649999999999999" customHeight="1"/>
    <row r="71" ht="16.649999999999999" customHeight="1"/>
    <row r="72" ht="16.649999999999999" customHeight="1"/>
    <row r="73" ht="16.649999999999999" customHeight="1"/>
    <row r="74" ht="16.649999999999999" customHeight="1"/>
    <row r="75" ht="16.649999999999999" customHeight="1"/>
    <row r="76" ht="16.649999999999999" customHeight="1"/>
    <row r="77" ht="16.649999999999999" customHeight="1"/>
    <row r="78" ht="16.649999999999999" customHeight="1"/>
    <row r="79" ht="16.649999999999999" customHeight="1"/>
    <row r="80" ht="16.649999999999999" customHeight="1"/>
    <row r="81" ht="16.649999999999999" customHeight="1"/>
    <row r="82" ht="16.649999999999999" customHeight="1"/>
    <row r="83" ht="16.649999999999999" customHeight="1"/>
  </sheetData>
  <mergeCells count="4">
    <mergeCell ref="A2:H2"/>
    <mergeCell ref="A4:H4"/>
    <mergeCell ref="A6:D6"/>
    <mergeCell ref="B8:C8"/>
  </mergeCells>
  <pageMargins left="0.75" right="0.75" top="1" bottom="1" header="0.5" footer="0.5"/>
  <headerFooter>
    <oddFooter>&amp;R_x000D_&amp;1#&amp;"Arial"&amp;7&amp;K000000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A3C6-E99D-41E0-9DEE-16FB57900742}">
  <dimension ref="A1:D99"/>
  <sheetViews>
    <sheetView showGridLines="0" showRuler="0" workbookViewId="0"/>
  </sheetViews>
  <sheetFormatPr defaultColWidth="12.62890625" defaultRowHeight="12.3"/>
  <cols>
    <col min="1" max="1" width="57.26171875" style="28" customWidth="1"/>
    <col min="2" max="25" width="19.05078125" style="28" customWidth="1"/>
    <col min="26" max="16384" width="12.62890625" style="28"/>
  </cols>
  <sheetData>
    <row r="1" spans="1:4" ht="16.649999999999999" customHeight="1">
      <c r="A1" s="47" t="s">
        <v>63</v>
      </c>
    </row>
    <row r="2" spans="1:4" ht="32.549999999999997" customHeight="1">
      <c r="A2" s="55" t="s">
        <v>62</v>
      </c>
      <c r="B2" s="56"/>
      <c r="C2" s="56"/>
      <c r="D2" s="56"/>
    </row>
    <row r="3" spans="1:4" ht="16.649999999999999" customHeight="1"/>
    <row r="4" spans="1:4" ht="14.1" customHeight="1">
      <c r="A4" s="55" t="s">
        <v>61</v>
      </c>
      <c r="B4" s="56"/>
      <c r="C4" s="56"/>
      <c r="D4" s="56"/>
    </row>
    <row r="5" spans="1:4" ht="16.649999999999999" customHeight="1"/>
    <row r="6" spans="1:4" ht="15.75" customHeight="1">
      <c r="A6" s="57" t="s">
        <v>174</v>
      </c>
      <c r="B6" s="56"/>
      <c r="C6" s="56"/>
      <c r="D6" s="56"/>
    </row>
    <row r="7" spans="1:4" ht="16.649999999999999" customHeight="1">
      <c r="A7" s="35"/>
      <c r="B7" s="35"/>
      <c r="C7" s="35"/>
      <c r="D7" s="35"/>
    </row>
    <row r="8" spans="1:4" ht="16.649999999999999" customHeight="1">
      <c r="A8" s="45" t="s">
        <v>74</v>
      </c>
      <c r="B8" s="48">
        <v>2022</v>
      </c>
      <c r="C8" s="48">
        <v>2023</v>
      </c>
      <c r="D8" s="48">
        <v>2024</v>
      </c>
    </row>
    <row r="9" spans="1:4" ht="16.649999999999999" customHeight="1">
      <c r="A9" s="35"/>
      <c r="B9" s="35"/>
      <c r="C9" s="35"/>
      <c r="D9" s="35"/>
    </row>
    <row r="10" spans="1:4" ht="16.649999999999999" customHeight="1">
      <c r="A10" s="34" t="s">
        <v>173</v>
      </c>
    </row>
    <row r="11" spans="1:4" ht="16.649999999999999" customHeight="1">
      <c r="A11" s="31" t="s">
        <v>39</v>
      </c>
      <c r="B11" s="30">
        <v>5624.2</v>
      </c>
      <c r="C11" s="30">
        <v>7839</v>
      </c>
      <c r="D11" s="29">
        <v>7571.6</v>
      </c>
    </row>
    <row r="12" spans="1:4" ht="16.649999999999999" customHeight="1">
      <c r="A12" s="31" t="s">
        <v>172</v>
      </c>
    </row>
    <row r="13" spans="1:4" ht="16.649999999999999" customHeight="1">
      <c r="A13" s="54" t="s">
        <v>171</v>
      </c>
      <c r="B13" s="30">
        <v>583.6</v>
      </c>
      <c r="C13" s="30">
        <v>739.8</v>
      </c>
      <c r="D13" s="29">
        <v>918.6</v>
      </c>
    </row>
    <row r="14" spans="1:4" ht="16.649999999999999" customHeight="1">
      <c r="A14" s="54" t="s">
        <v>170</v>
      </c>
      <c r="B14" s="30">
        <v>39.299999999999997</v>
      </c>
      <c r="C14" s="30">
        <v>37.5</v>
      </c>
      <c r="D14" s="29">
        <v>35.799999999999997</v>
      </c>
    </row>
    <row r="15" spans="1:4" ht="16.649999999999999" customHeight="1">
      <c r="A15" s="54" t="s">
        <v>169</v>
      </c>
      <c r="B15" s="30">
        <v>68.900000000000006</v>
      </c>
      <c r="C15" s="30">
        <v>134.80000000000001</v>
      </c>
      <c r="D15" s="29">
        <v>172.6</v>
      </c>
    </row>
    <row r="16" spans="1:4" ht="16.649999999999999" hidden="1" customHeight="1">
      <c r="A16" s="54" t="s">
        <v>168</v>
      </c>
      <c r="B16" s="30">
        <v>0</v>
      </c>
      <c r="C16" s="30">
        <v>0</v>
      </c>
      <c r="D16" s="29">
        <v>0</v>
      </c>
    </row>
    <row r="17" spans="1:4" ht="16.649999999999999" customHeight="1">
      <c r="A17" s="54" t="s">
        <v>167</v>
      </c>
      <c r="B17" s="30">
        <v>278.5</v>
      </c>
      <c r="C17" s="30">
        <v>485.3</v>
      </c>
      <c r="D17" s="29">
        <v>554.70000000000005</v>
      </c>
    </row>
    <row r="18" spans="1:4" ht="16.649999999999999" customHeight="1">
      <c r="A18" s="54" t="s">
        <v>166</v>
      </c>
      <c r="B18" s="30">
        <v>-564.20000000000005</v>
      </c>
      <c r="C18" s="30">
        <v>-133.6</v>
      </c>
      <c r="D18" s="29">
        <v>-144.80000000000001</v>
      </c>
    </row>
    <row r="19" spans="1:4" ht="16.649999999999999" customHeight="1">
      <c r="A19" s="54" t="s">
        <v>103</v>
      </c>
      <c r="B19" s="30">
        <v>15.3</v>
      </c>
      <c r="C19" s="30">
        <v>4.2</v>
      </c>
      <c r="D19" s="29">
        <v>4.4000000000000004</v>
      </c>
    </row>
    <row r="20" spans="1:4" ht="16.649999999999999" customHeight="1">
      <c r="A20" s="54" t="s">
        <v>165</v>
      </c>
    </row>
    <row r="21" spans="1:4" ht="16.649999999999999" customHeight="1">
      <c r="A21" s="53" t="s">
        <v>164</v>
      </c>
      <c r="B21" s="30">
        <v>-2338</v>
      </c>
      <c r="C21" s="30">
        <v>959.9</v>
      </c>
      <c r="D21" s="29">
        <v>-139.9</v>
      </c>
    </row>
    <row r="22" spans="1:4" ht="16.649999999999999" customHeight="1">
      <c r="A22" s="53" t="s">
        <v>107</v>
      </c>
      <c r="B22" s="30">
        <v>212.2</v>
      </c>
      <c r="C22" s="30">
        <v>-88.6</v>
      </c>
      <c r="D22" s="29">
        <v>1038.7</v>
      </c>
    </row>
    <row r="23" spans="1:4" ht="16.649999999999999" customHeight="1">
      <c r="A23" s="53" t="s">
        <v>163</v>
      </c>
      <c r="B23" s="30">
        <v>-2080.9</v>
      </c>
      <c r="C23" s="30">
        <v>-1646.9</v>
      </c>
      <c r="D23" s="29">
        <v>-1860.9</v>
      </c>
    </row>
    <row r="24" spans="1:4" ht="16.649999999999999" customHeight="1">
      <c r="A24" s="53" t="s">
        <v>104</v>
      </c>
      <c r="B24" s="30">
        <v>-864.3</v>
      </c>
      <c r="C24" s="30">
        <v>-344.3</v>
      </c>
      <c r="D24" s="29">
        <v>-1299</v>
      </c>
    </row>
    <row r="25" spans="1:4" ht="16.649999999999999" customHeight="1">
      <c r="A25" s="53" t="s">
        <v>88</v>
      </c>
      <c r="B25" s="30">
        <v>439.7</v>
      </c>
      <c r="C25" s="30">
        <v>222</v>
      </c>
      <c r="D25" s="29">
        <v>625.5</v>
      </c>
    </row>
    <row r="26" spans="1:4" ht="16.649999999999999" customHeight="1">
      <c r="A26" s="53" t="s">
        <v>95</v>
      </c>
      <c r="B26" s="30">
        <v>406.2</v>
      </c>
      <c r="C26" s="30">
        <v>-261.7</v>
      </c>
      <c r="D26" s="29">
        <v>1127.5999999999999</v>
      </c>
    </row>
    <row r="27" spans="1:4" ht="16.649999999999999" customHeight="1">
      <c r="A27" s="53" t="s">
        <v>162</v>
      </c>
      <c r="B27" s="30">
        <v>33.6</v>
      </c>
      <c r="C27" s="30">
        <v>-939.4</v>
      </c>
      <c r="D27" s="29">
        <v>689.5</v>
      </c>
    </row>
    <row r="28" spans="1:4" ht="16.649999999999999" customHeight="1">
      <c r="A28" s="52" t="s">
        <v>161</v>
      </c>
      <c r="B28" s="38">
        <v>6632.7</v>
      </c>
      <c r="C28" s="38">
        <v>-1564.6</v>
      </c>
      <c r="D28" s="37">
        <v>1871.8</v>
      </c>
    </row>
    <row r="29" spans="1:4" ht="16.649999999999999" customHeight="1">
      <c r="A29" s="42" t="s">
        <v>160</v>
      </c>
      <c r="B29" s="41">
        <v>8486.7999999999993</v>
      </c>
      <c r="C29" s="41">
        <v>5443.4</v>
      </c>
      <c r="D29" s="40">
        <v>11166.2</v>
      </c>
    </row>
    <row r="30" spans="1:4" ht="16.649999999999999" customHeight="1"/>
    <row r="31" spans="1:4" ht="16.649999999999999" customHeight="1">
      <c r="A31" s="34" t="s">
        <v>159</v>
      </c>
    </row>
    <row r="32" spans="1:4" ht="16.649999999999999" customHeight="1">
      <c r="A32" s="31" t="s">
        <v>158</v>
      </c>
      <c r="B32" s="30">
        <v>-1281.8</v>
      </c>
      <c r="C32" s="30">
        <v>-2155.6</v>
      </c>
      <c r="D32" s="29">
        <v>-2067.1999999999998</v>
      </c>
    </row>
    <row r="33" spans="1:4" ht="16.649999999999999" customHeight="1">
      <c r="A33" s="31" t="s">
        <v>157</v>
      </c>
      <c r="B33" s="30">
        <v>-37.5</v>
      </c>
      <c r="C33" s="30">
        <v>-40.6</v>
      </c>
      <c r="D33" s="29">
        <v>-15.9</v>
      </c>
    </row>
    <row r="34" spans="1:4" ht="16.649999999999999" customHeight="1">
      <c r="A34" s="31" t="s">
        <v>156</v>
      </c>
      <c r="B34" s="30">
        <v>-334.3</v>
      </c>
      <c r="C34" s="30">
        <v>-23.6</v>
      </c>
      <c r="D34" s="29">
        <v>-305.2</v>
      </c>
    </row>
    <row r="35" spans="1:4" ht="16.649999999999999" customHeight="1">
      <c r="A35" s="31" t="s">
        <v>155</v>
      </c>
      <c r="B35" s="30">
        <v>864.7</v>
      </c>
      <c r="C35" s="30">
        <v>125.6</v>
      </c>
      <c r="D35" s="29">
        <v>305.2</v>
      </c>
    </row>
    <row r="36" spans="1:4" ht="16.649999999999999" customHeight="1">
      <c r="A36" s="31" t="s">
        <v>154</v>
      </c>
      <c r="B36" s="30">
        <v>-240</v>
      </c>
      <c r="C36" s="30">
        <v>-561.5</v>
      </c>
      <c r="D36" s="29">
        <v>-526.20000000000005</v>
      </c>
    </row>
    <row r="37" spans="1:4" ht="16.649999999999999" hidden="1" customHeight="1">
      <c r="A37" s="31" t="s">
        <v>153</v>
      </c>
      <c r="B37" s="30">
        <v>0</v>
      </c>
      <c r="C37" s="30">
        <v>0</v>
      </c>
      <c r="D37" s="29">
        <v>0</v>
      </c>
    </row>
    <row r="38" spans="1:4" ht="16.649999999999999" customHeight="1">
      <c r="A38" s="39" t="s">
        <v>152</v>
      </c>
      <c r="B38" s="38">
        <v>0</v>
      </c>
      <c r="C38" s="38">
        <v>-33.6</v>
      </c>
      <c r="D38" s="37">
        <v>0</v>
      </c>
    </row>
    <row r="39" spans="1:4" ht="16.649999999999999" customHeight="1">
      <c r="A39" s="42" t="s">
        <v>151</v>
      </c>
      <c r="B39" s="41">
        <v>-1028.9000000000001</v>
      </c>
      <c r="C39" s="41">
        <v>-2689.3</v>
      </c>
      <c r="D39" s="40">
        <v>-2609.3000000000002</v>
      </c>
    </row>
    <row r="40" spans="1:4" ht="16.649999999999999" customHeight="1"/>
    <row r="41" spans="1:4" ht="16.649999999999999" customHeight="1">
      <c r="A41" s="34" t="s">
        <v>150</v>
      </c>
    </row>
    <row r="42" spans="1:4" ht="16.649999999999999" customHeight="1">
      <c r="A42" s="31" t="s">
        <v>119</v>
      </c>
      <c r="B42" s="30">
        <v>-2559.8000000000002</v>
      </c>
      <c r="C42" s="30">
        <v>-2348.3000000000002</v>
      </c>
      <c r="D42" s="29">
        <v>-2452.9</v>
      </c>
    </row>
    <row r="43" spans="1:4" ht="16.649999999999999" customHeight="1">
      <c r="A43" s="31" t="s">
        <v>123</v>
      </c>
      <c r="B43" s="30">
        <v>-4639.7</v>
      </c>
      <c r="C43" s="30">
        <v>-1000</v>
      </c>
      <c r="D43" s="29">
        <v>-500</v>
      </c>
    </row>
    <row r="44" spans="1:4" ht="16.649999999999999" customHeight="1">
      <c r="A44" s="31" t="s">
        <v>149</v>
      </c>
      <c r="B44" s="30">
        <v>81.8</v>
      </c>
      <c r="C44" s="30">
        <v>99.4</v>
      </c>
      <c r="D44" s="29">
        <v>124</v>
      </c>
    </row>
    <row r="45" spans="1:4" ht="16.649999999999999" customHeight="1">
      <c r="A45" s="31" t="s">
        <v>148</v>
      </c>
      <c r="B45" s="30">
        <v>495.6</v>
      </c>
      <c r="C45" s="30">
        <v>997.8</v>
      </c>
      <c r="D45" s="29">
        <v>22.5</v>
      </c>
    </row>
    <row r="46" spans="1:4" ht="16.649999999999999" customHeight="1">
      <c r="A46" s="39" t="s">
        <v>147</v>
      </c>
      <c r="B46" s="38">
        <v>-516.20000000000005</v>
      </c>
      <c r="C46" s="38">
        <v>-752.8</v>
      </c>
      <c r="D46" s="37">
        <v>-25.7</v>
      </c>
    </row>
    <row r="47" spans="1:4" ht="16.649999999999999" customHeight="1">
      <c r="A47" s="42" t="s">
        <v>146</v>
      </c>
      <c r="B47" s="41">
        <v>-7138.3</v>
      </c>
      <c r="C47" s="41">
        <v>-3003.9</v>
      </c>
      <c r="D47" s="40">
        <v>-2832.1</v>
      </c>
    </row>
    <row r="48" spans="1:4" ht="16.649999999999999" customHeight="1"/>
    <row r="49" spans="1:4" ht="16.649999999999999" customHeight="1">
      <c r="A49" s="34" t="s">
        <v>145</v>
      </c>
      <c r="B49" s="30">
        <v>319.60000000000002</v>
      </c>
      <c r="C49" s="30">
        <v>-249.8</v>
      </c>
      <c r="D49" s="29">
        <v>5724.8</v>
      </c>
    </row>
    <row r="50" spans="1:4" ht="16.649999999999999" customHeight="1">
      <c r="A50" s="39" t="s">
        <v>144</v>
      </c>
      <c r="B50" s="38">
        <v>-3.1</v>
      </c>
      <c r="C50" s="38">
        <v>-13.8</v>
      </c>
      <c r="D50" s="37">
        <v>6.4</v>
      </c>
    </row>
    <row r="51" spans="1:4" ht="16.649999999999999" customHeight="1">
      <c r="A51" s="42" t="s">
        <v>143</v>
      </c>
      <c r="B51" s="41">
        <v>316.5</v>
      </c>
      <c r="C51" s="41">
        <v>-263.60000000000002</v>
      </c>
      <c r="D51" s="40">
        <v>5731.2</v>
      </c>
    </row>
    <row r="52" spans="1:4" ht="16.649999999999999" customHeight="1">
      <c r="A52" s="39" t="s">
        <v>142</v>
      </c>
      <c r="B52" s="38">
        <v>6951.8</v>
      </c>
      <c r="C52" s="38">
        <v>7268.3</v>
      </c>
      <c r="D52" s="37">
        <v>7004.7</v>
      </c>
    </row>
    <row r="53" spans="1:4" ht="16.649999999999999" customHeight="1">
      <c r="A53" s="42" t="s">
        <v>141</v>
      </c>
      <c r="B53" s="41">
        <v>7268.3</v>
      </c>
      <c r="C53" s="41">
        <v>7004.7</v>
      </c>
      <c r="D53" s="40">
        <v>12735.9</v>
      </c>
    </row>
    <row r="54" spans="1:4" ht="16.649999999999999" customHeight="1"/>
    <row r="55" spans="1:4" ht="16.649999999999999" customHeight="1">
      <c r="A55" s="34" t="s">
        <v>140</v>
      </c>
    </row>
    <row r="56" spans="1:4" ht="22.5" customHeight="1">
      <c r="A56" s="31" t="s">
        <v>139</v>
      </c>
      <c r="B56" s="30">
        <v>50.3</v>
      </c>
      <c r="C56" s="30">
        <v>49.3</v>
      </c>
      <c r="D56" s="29">
        <v>23.6</v>
      </c>
    </row>
    <row r="57" spans="1:4" ht="16.649999999999999" customHeight="1">
      <c r="A57" s="31" t="s">
        <v>138</v>
      </c>
      <c r="B57" s="30">
        <v>42.4</v>
      </c>
      <c r="C57" s="30">
        <v>190.8</v>
      </c>
      <c r="D57" s="29">
        <v>169.5</v>
      </c>
    </row>
    <row r="58" spans="1:4" ht="16.649999999999999" customHeight="1">
      <c r="A58" s="31" t="s">
        <v>137</v>
      </c>
      <c r="B58" s="30">
        <v>-82.2</v>
      </c>
      <c r="C58" s="30">
        <v>-137.80000000000001</v>
      </c>
      <c r="D58" s="29">
        <v>-160</v>
      </c>
    </row>
    <row r="59" spans="1:4" ht="16.649999999999999" customHeight="1">
      <c r="A59" s="31" t="s">
        <v>136</v>
      </c>
      <c r="B59" s="30">
        <v>-1734.6</v>
      </c>
      <c r="C59" s="30">
        <v>-2568.3000000000002</v>
      </c>
      <c r="D59" s="29">
        <v>-1098</v>
      </c>
    </row>
    <row r="60" spans="1:4" ht="16.649999999999999" customHeight="1"/>
    <row r="61" spans="1:4" ht="16.649999999999999" customHeight="1"/>
    <row r="62" spans="1:4" ht="16.649999999999999" customHeight="1"/>
    <row r="63" spans="1:4" ht="16.649999999999999" customHeight="1"/>
    <row r="64" spans="1:4" ht="16.649999999999999" customHeight="1"/>
    <row r="65" ht="16.649999999999999" customHeight="1"/>
    <row r="66" ht="16.649999999999999" customHeight="1"/>
    <row r="67" ht="16.649999999999999" customHeight="1"/>
    <row r="68" ht="16.649999999999999" customHeight="1"/>
    <row r="69" ht="16.649999999999999" customHeight="1"/>
    <row r="70" ht="16.649999999999999" customHeight="1"/>
    <row r="71" ht="16.649999999999999" customHeight="1"/>
    <row r="72" ht="16.649999999999999" customHeight="1"/>
    <row r="73" ht="16.649999999999999" customHeight="1"/>
    <row r="74" ht="16.649999999999999" customHeight="1"/>
    <row r="75" ht="16.649999999999999" customHeight="1"/>
    <row r="76" ht="16.649999999999999" customHeight="1"/>
    <row r="77" ht="16.649999999999999" customHeight="1"/>
    <row r="78" ht="16.649999999999999" customHeight="1"/>
    <row r="79" ht="16.649999999999999" customHeight="1"/>
    <row r="80" ht="16.649999999999999" customHeight="1"/>
    <row r="81" ht="16.649999999999999" customHeight="1"/>
    <row r="82" ht="16.649999999999999" customHeight="1"/>
    <row r="83" ht="16.649999999999999" customHeight="1"/>
    <row r="84" ht="16.649999999999999" customHeight="1"/>
    <row r="85" ht="16.649999999999999" customHeight="1"/>
    <row r="86" ht="16.649999999999999" customHeight="1"/>
    <row r="87" ht="16.649999999999999" customHeight="1"/>
    <row r="88" ht="16.649999999999999" customHeight="1"/>
    <row r="89" ht="16.649999999999999" customHeight="1"/>
    <row r="90" ht="16.649999999999999" customHeight="1"/>
    <row r="91" ht="16.649999999999999" customHeight="1"/>
    <row r="92" ht="16.649999999999999" customHeight="1"/>
    <row r="93" ht="16.649999999999999" customHeight="1"/>
    <row r="94" ht="16.649999999999999" customHeight="1"/>
    <row r="95" ht="16.649999999999999" customHeight="1"/>
    <row r="96" ht="16.649999999999999" customHeight="1"/>
    <row r="97" ht="16.649999999999999" customHeight="1"/>
    <row r="98" ht="16.649999999999999" customHeight="1"/>
    <row r="99" ht="16.649999999999999" customHeight="1"/>
  </sheetData>
  <mergeCells count="3">
    <mergeCell ref="A2:D2"/>
    <mergeCell ref="A4:D4"/>
    <mergeCell ref="A6:D6"/>
  </mergeCells>
  <pageMargins left="0.75" right="0.75" top="1" bottom="1" header="0.5" footer="0.5"/>
  <headerFooter>
    <oddFooter>&amp;R_x000D_&amp;1#&amp;"Arial"&amp;7&amp;K000000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ASML</vt:lpstr>
      <vt:lpstr>Statements of Operations</vt:lpstr>
      <vt:lpstr>Comprehensive Income</vt:lpstr>
      <vt:lpstr>Balance Sheets</vt:lpstr>
      <vt:lpstr>Shareholder Equity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E Pilcher</dc:creator>
  <cp:lastModifiedBy>Joshua E Pilcher</cp:lastModifiedBy>
  <dcterms:created xsi:type="dcterms:W3CDTF">2025-09-16T00:09:38Z</dcterms:created>
  <dcterms:modified xsi:type="dcterms:W3CDTF">2026-03-12T21:28:39Z</dcterms:modified>
</cp:coreProperties>
</file>