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"/>
    </mc:Choice>
  </mc:AlternateContent>
  <xr:revisionPtr revIDLastSave="0" documentId="13_ncr:1_{2870208C-AF85-4570-9389-9272908C2FE7}" xr6:coauthVersionLast="47" xr6:coauthVersionMax="47" xr10:uidLastSave="{00000000-0000-0000-0000-000000000000}"/>
  <bookViews>
    <workbookView xWindow="12707" yWindow="-93" windowWidth="25786" windowHeight="15466" xr2:uid="{EB05ADB6-3088-4155-A428-8DBED0954149}"/>
  </bookViews>
  <sheets>
    <sheet name="Caleb Goetz | 08-21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U8" i="1"/>
  <c r="U22" i="1"/>
  <c r="P6" i="1" s="1"/>
  <c r="O7" i="1"/>
  <c r="O12" i="1"/>
  <c r="I22" i="1"/>
  <c r="D7" i="1"/>
  <c r="D12" i="1"/>
  <c r="J11" i="1" s="1"/>
  <c r="T18" i="1" l="1"/>
  <c r="T19" i="1"/>
  <c r="T20" i="1"/>
  <c r="U14" i="1"/>
  <c r="T21" i="1"/>
  <c r="J9" i="1"/>
  <c r="I13" i="1"/>
  <c r="J6" i="1"/>
  <c r="I7" i="1"/>
  <c r="J21" i="1"/>
  <c r="J8" i="1"/>
  <c r="J10" i="1"/>
  <c r="J19" i="1"/>
  <c r="J20" i="1"/>
  <c r="J12" i="1"/>
  <c r="J18" i="1"/>
  <c r="T22" i="1" l="1"/>
  <c r="T10" i="1"/>
  <c r="P7" i="1"/>
  <c r="T11" i="1"/>
  <c r="T7" i="1"/>
  <c r="T13" i="1"/>
  <c r="T6" i="1"/>
  <c r="T12" i="1"/>
  <c r="T8" i="1"/>
  <c r="T9" i="1"/>
  <c r="I14" i="1"/>
  <c r="J14" i="1"/>
  <c r="J22" i="1"/>
  <c r="E6" i="1" s="1"/>
  <c r="T14" i="1" l="1"/>
  <c r="E5" i="1"/>
  <c r="E7" i="1" s="1"/>
  <c r="P5" i="1"/>
</calcChain>
</file>

<file path=xl/sharedStrings.xml><?xml version="1.0" encoding="utf-8"?>
<sst xmlns="http://schemas.openxmlformats.org/spreadsheetml/2006/main" count="90" uniqueCount="38">
  <si>
    <t>JEPI</t>
  </si>
  <si>
    <t>%</t>
  </si>
  <si>
    <t>$</t>
  </si>
  <si>
    <t>TOTAL</t>
  </si>
  <si>
    <t>Total</t>
  </si>
  <si>
    <t>Allocation</t>
  </si>
  <si>
    <t>UNH</t>
  </si>
  <si>
    <t>ASML</t>
  </si>
  <si>
    <t>Funds Available</t>
  </si>
  <si>
    <t>VXUS</t>
  </si>
  <si>
    <t>AVUV</t>
  </si>
  <si>
    <t>VTI</t>
  </si>
  <si>
    <t>Vanguard Total International Stock Index Fund ETF</t>
  </si>
  <si>
    <t>Vanguard S&amp;P 500 ETF</t>
  </si>
  <si>
    <t>Avantis US Small Cap Value ETF</t>
  </si>
  <si>
    <t>Vanguard Total Stock Market Index Fund ETF</t>
  </si>
  <si>
    <t>JPMorgan Equity Premium Income ETF</t>
  </si>
  <si>
    <t>Visa Inc</t>
  </si>
  <si>
    <t>V</t>
  </si>
  <si>
    <t>UnitedHealth Group Inc</t>
  </si>
  <si>
    <t>ASML Holding NV</t>
  </si>
  <si>
    <t>Ticker</t>
  </si>
  <si>
    <t>Name</t>
  </si>
  <si>
    <t>VOO</t>
  </si>
  <si>
    <t>GOOGL</t>
  </si>
  <si>
    <t>Alphabet Inc Class A</t>
  </si>
  <si>
    <t>Fidelity 500 Index Fund</t>
  </si>
  <si>
    <t>FXAIX</t>
  </si>
  <si>
    <t>QQQ</t>
  </si>
  <si>
    <t>Invesco QQQ Trust, Series 1</t>
  </si>
  <si>
    <t>VB</t>
  </si>
  <si>
    <t>Vanguard Small-Cap Index Fund ETF</t>
  </si>
  <si>
    <t>Exchange Traded Funds</t>
  </si>
  <si>
    <t>Individual Stocks</t>
  </si>
  <si>
    <t>Suggestion</t>
  </si>
  <si>
    <t>Reality</t>
  </si>
  <si>
    <t>Account #1</t>
  </si>
  <si>
    <t>Account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</si>
</sst>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/>
      <name val="Calibri"/>
      <family val="2"/>
    </font>
    <font>
      <b/>
      <i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476FF"/>
        <bgColor indexed="64"/>
      </patternFill>
    </fill>
    <fill>
      <patternFill patternType="solid">
        <fgColor rgb="FF26FF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/>
    <xf numFmtId="0" fontId="3" fillId="4" borderId="5" xfId="0" applyFont="1" applyFill="1" applyBorder="1"/>
    <xf numFmtId="164" fontId="3" fillId="4" borderId="6" xfId="0" applyNumberFormat="1" applyFont="1" applyFill="1" applyBorder="1"/>
    <xf numFmtId="164" fontId="1" fillId="3" borderId="9" xfId="0" applyNumberFormat="1" applyFont="1" applyFill="1" applyBorder="1"/>
    <xf numFmtId="164" fontId="3" fillId="4" borderId="9" xfId="0" applyNumberFormat="1" applyFont="1" applyFill="1" applyBorder="1"/>
    <xf numFmtId="10" fontId="3" fillId="4" borderId="6" xfId="0" applyNumberFormat="1" applyFont="1" applyFill="1" applyBorder="1"/>
    <xf numFmtId="10" fontId="3" fillId="4" borderId="9" xfId="0" applyNumberFormat="1" applyFont="1" applyFill="1" applyBorder="1"/>
    <xf numFmtId="10" fontId="1" fillId="3" borderId="9" xfId="0" applyNumberFormat="1" applyFont="1" applyFill="1" applyBorder="1"/>
    <xf numFmtId="0" fontId="3" fillId="4" borderId="6" xfId="0" applyFont="1" applyFill="1" applyBorder="1"/>
    <xf numFmtId="0" fontId="3" fillId="4" borderId="9" xfId="0" applyFont="1" applyFill="1" applyBorder="1"/>
    <xf numFmtId="0" fontId="1" fillId="3" borderId="9" xfId="0" applyFont="1" applyFill="1" applyBorder="1" applyAlignment="1">
      <alignment horizontal="centerContinuous"/>
    </xf>
    <xf numFmtId="0" fontId="3" fillId="4" borderId="11" xfId="0" applyFont="1" applyFill="1" applyBorder="1"/>
    <xf numFmtId="0" fontId="3" fillId="4" borderId="12" xfId="0" applyFont="1" applyFill="1" applyBorder="1"/>
    <xf numFmtId="0" fontId="1" fillId="3" borderId="12" xfId="0" applyFont="1" applyFill="1" applyBorder="1" applyAlignment="1">
      <alignment horizontal="centerContinuous"/>
    </xf>
    <xf numFmtId="0" fontId="1" fillId="3" borderId="1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Continuous"/>
    </xf>
    <xf numFmtId="0" fontId="2" fillId="6" borderId="2" xfId="0" applyFont="1" applyFill="1" applyBorder="1" applyAlignment="1">
      <alignment horizontal="centerContinuous"/>
    </xf>
    <xf numFmtId="10" fontId="3" fillId="4" borderId="5" xfId="0" applyNumberFormat="1" applyFont="1" applyFill="1" applyBorder="1"/>
    <xf numFmtId="0" fontId="2" fillId="6" borderId="10" xfId="0" applyFont="1" applyFill="1" applyBorder="1" applyAlignment="1">
      <alignment horizontal="centerContinuous"/>
    </xf>
    <xf numFmtId="164" fontId="3" fillId="4" borderId="11" xfId="0" applyNumberFormat="1" applyFont="1" applyFill="1" applyBorder="1"/>
    <xf numFmtId="0" fontId="1" fillId="3" borderId="14" xfId="0" applyFont="1" applyFill="1" applyBorder="1" applyAlignment="1">
      <alignment horizontal="centerContinuous"/>
    </xf>
    <xf numFmtId="10" fontId="1" fillId="3" borderId="14" xfId="0" applyNumberFormat="1" applyFont="1" applyFill="1" applyBorder="1"/>
    <xf numFmtId="164" fontId="1" fillId="3" borderId="1" xfId="0" applyNumberFormat="1" applyFont="1" applyFill="1" applyBorder="1"/>
    <xf numFmtId="0" fontId="3" fillId="4" borderId="2" xfId="0" applyFont="1" applyFill="1" applyBorder="1"/>
    <xf numFmtId="10" fontId="3" fillId="4" borderId="2" xfId="0" applyNumberFormat="1" applyFont="1" applyFill="1" applyBorder="1"/>
    <xf numFmtId="164" fontId="3" fillId="4" borderId="10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Continuous"/>
    </xf>
    <xf numFmtId="0" fontId="1" fillId="3" borderId="14" xfId="0" applyFont="1" applyFill="1" applyBorder="1"/>
    <xf numFmtId="0" fontId="3" fillId="3" borderId="2" xfId="0" applyFont="1" applyFill="1" applyBorder="1" applyAlignment="1">
      <alignment horizontal="centerContinuous"/>
    </xf>
    <xf numFmtId="9" fontId="0" fillId="6" borderId="2" xfId="0" applyNumberFormat="1" applyFill="1" applyBorder="1"/>
    <xf numFmtId="9" fontId="3" fillId="5" borderId="5" xfId="0" applyNumberFormat="1" applyFont="1" applyFill="1" applyBorder="1"/>
    <xf numFmtId="9" fontId="1" fillId="3" borderId="14" xfId="0" applyNumberFormat="1" applyFont="1" applyFill="1" applyBorder="1"/>
    <xf numFmtId="0" fontId="3" fillId="3" borderId="10" xfId="0" applyFont="1" applyFill="1" applyBorder="1" applyAlignment="1">
      <alignment horizontal="centerContinuous"/>
    </xf>
    <xf numFmtId="164" fontId="0" fillId="6" borderId="10" xfId="0" applyNumberFormat="1" applyFill="1" applyBorder="1"/>
    <xf numFmtId="164" fontId="3" fillId="5" borderId="11" xfId="0" applyNumberFormat="1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4" fillId="7" borderId="14" xfId="0" applyFont="1" applyFill="1" applyBorder="1" applyAlignment="1">
      <alignment horizontal="centerContinuous"/>
    </xf>
    <xf numFmtId="0" fontId="4" fillId="7" borderId="15" xfId="0" applyFont="1" applyFill="1" applyBorder="1" applyAlignment="1">
      <alignment horizontal="centerContinuous"/>
    </xf>
    <xf numFmtId="0" fontId="4" fillId="7" borderId="13" xfId="0" applyFont="1" applyFill="1" applyBorder="1" applyAlignment="1">
      <alignment horizontal="centerContinuous"/>
    </xf>
    <xf numFmtId="0" fontId="4" fillId="8" borderId="14" xfId="0" applyFont="1" applyFill="1" applyBorder="1" applyAlignment="1">
      <alignment horizontal="centerContinuous"/>
    </xf>
    <xf numFmtId="0" fontId="4" fillId="8" borderId="15" xfId="0" applyFont="1" applyFill="1" applyBorder="1" applyAlignment="1">
      <alignment horizontal="centerContinuous"/>
    </xf>
    <xf numFmtId="0" fontId="4" fillId="8" borderId="13" xfId="0" applyFont="1" applyFill="1" applyBorder="1" applyAlignment="1">
      <alignment horizontal="centerContinuous"/>
    </xf>
    <xf numFmtId="0" fontId="5" fillId="6" borderId="2" xfId="0" applyFont="1" applyFill="1" applyBorder="1"/>
    <xf numFmtId="0" fontId="6" fillId="5" borderId="5" xfId="0" applyFont="1" applyFill="1" applyBorder="1"/>
    <xf numFmtId="0" fontId="7" fillId="6" borderId="2" xfId="0" applyFont="1" applyFill="1" applyBorder="1" applyAlignment="1">
      <alignment horizontal="centerContinuous"/>
    </xf>
    <xf numFmtId="0" fontId="4" fillId="5" borderId="1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6FF21"/>
      <color rgb="FF147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4C65-1898-4158-8311-17B4F3C11429}">
  <dimension ref="B2:V24"/>
  <sheetViews>
    <sheetView tabSelected="1" zoomScale="75" zoomScaleNormal="75" workbookViewId="0"/>
  </sheetViews>
  <sheetFormatPr defaultColWidth="2.7109375" defaultRowHeight="15" x14ac:dyDescent="0.25"/>
  <cols>
    <col min="1" max="2" width="2.7109375" style="1"/>
    <col min="3" max="3" width="22.7109375" style="1" bestFit="1" customWidth="1"/>
    <col min="4" max="5" width="9.42578125" style="1" bestFit="1" customWidth="1"/>
    <col min="6" max="6" width="2.7109375" style="1" customWidth="1"/>
    <col min="7" max="7" width="7.5703125" style="1" bestFit="1" customWidth="1"/>
    <col min="8" max="8" width="46.42578125" style="1" bestFit="1" customWidth="1"/>
    <col min="9" max="9" width="8.5703125" style="1" bestFit="1" customWidth="1"/>
    <col min="10" max="10" width="9.42578125" style="1" bestFit="1" customWidth="1"/>
    <col min="11" max="13" width="2.7109375" style="1" customWidth="1"/>
    <col min="14" max="14" width="22.7109375" style="1" bestFit="1" customWidth="1"/>
    <col min="15" max="16" width="9.42578125" style="1" bestFit="1" customWidth="1"/>
    <col min="17" max="17" width="2.7109375" style="1" customWidth="1"/>
    <col min="18" max="18" width="7.5703125" style="1" bestFit="1" customWidth="1"/>
    <col min="19" max="19" width="46.42578125" style="1" bestFit="1" customWidth="1"/>
    <col min="20" max="20" width="8.5703125" style="1" bestFit="1" customWidth="1"/>
    <col min="21" max="21" width="9.42578125" style="1" bestFit="1" customWidth="1"/>
    <col min="22" max="16384" width="2.7109375" style="1"/>
  </cols>
  <sheetData>
    <row r="2" spans="2:22" x14ac:dyDescent="0.25">
      <c r="B2" s="47" t="s">
        <v>34</v>
      </c>
      <c r="C2" s="48"/>
      <c r="D2" s="48"/>
      <c r="E2" s="48"/>
      <c r="F2" s="48"/>
      <c r="G2" s="48"/>
      <c r="H2" s="48"/>
      <c r="I2" s="48"/>
      <c r="J2" s="48"/>
      <c r="K2" s="49"/>
      <c r="M2" s="50" t="s">
        <v>35</v>
      </c>
      <c r="N2" s="51"/>
      <c r="O2" s="51"/>
      <c r="P2" s="51"/>
      <c r="Q2" s="51"/>
      <c r="R2" s="51"/>
      <c r="S2" s="51"/>
      <c r="T2" s="51"/>
      <c r="U2" s="51"/>
      <c r="V2" s="52"/>
    </row>
    <row r="3" spans="2:22" x14ac:dyDescent="0.25">
      <c r="B3" s="39"/>
      <c r="C3" s="40"/>
      <c r="D3" s="40"/>
      <c r="E3" s="40"/>
      <c r="F3" s="40"/>
      <c r="G3" s="40"/>
      <c r="H3" s="40"/>
      <c r="I3" s="40"/>
      <c r="J3" s="40"/>
      <c r="K3" s="41"/>
      <c r="M3" s="39"/>
      <c r="N3" s="40"/>
      <c r="O3" s="40"/>
      <c r="P3" s="40"/>
      <c r="Q3" s="40"/>
      <c r="R3" s="40"/>
      <c r="S3" s="40"/>
      <c r="T3" s="40"/>
      <c r="U3" s="40"/>
      <c r="V3" s="41"/>
    </row>
    <row r="4" spans="2:22" x14ac:dyDescent="0.25">
      <c r="B4" s="42"/>
      <c r="C4" s="30" t="s">
        <v>5</v>
      </c>
      <c r="D4" s="32"/>
      <c r="E4" s="36"/>
      <c r="G4" s="55" t="s">
        <v>32</v>
      </c>
      <c r="H4" s="18"/>
      <c r="I4" s="18"/>
      <c r="J4" s="20"/>
      <c r="K4" s="43"/>
      <c r="M4" s="42"/>
      <c r="N4" s="30" t="s">
        <v>5</v>
      </c>
      <c r="O4" s="32"/>
      <c r="P4" s="36"/>
      <c r="R4" s="55" t="s">
        <v>32</v>
      </c>
      <c r="S4" s="18"/>
      <c r="T4" s="18"/>
      <c r="U4" s="20"/>
      <c r="V4" s="43"/>
    </row>
    <row r="5" spans="2:22" x14ac:dyDescent="0.25">
      <c r="B5" s="42"/>
      <c r="C5" s="53" t="s">
        <v>32</v>
      </c>
      <c r="D5" s="33">
        <v>0.95</v>
      </c>
      <c r="E5" s="37">
        <f>$J$14</f>
        <v>33812.047040000005</v>
      </c>
      <c r="G5" s="28" t="s">
        <v>21</v>
      </c>
      <c r="H5" s="28" t="s">
        <v>22</v>
      </c>
      <c r="I5" s="28" t="s">
        <v>1</v>
      </c>
      <c r="J5" s="29" t="s">
        <v>2</v>
      </c>
      <c r="K5" s="43"/>
      <c r="M5" s="42"/>
      <c r="N5" s="53" t="s">
        <v>32</v>
      </c>
      <c r="O5" s="33">
        <v>0.95</v>
      </c>
      <c r="P5" s="37">
        <f>$J$14</f>
        <v>33812.047040000005</v>
      </c>
      <c r="R5" s="28" t="s">
        <v>21</v>
      </c>
      <c r="S5" s="28" t="s">
        <v>22</v>
      </c>
      <c r="T5" s="28" t="s">
        <v>1</v>
      </c>
      <c r="U5" s="29" t="s">
        <v>2</v>
      </c>
      <c r="V5" s="43"/>
    </row>
    <row r="6" spans="2:22" x14ac:dyDescent="0.25">
      <c r="B6" s="42"/>
      <c r="C6" s="54" t="s">
        <v>33</v>
      </c>
      <c r="D6" s="34">
        <v>0.05</v>
      </c>
      <c r="E6" s="38">
        <f>J22</f>
        <v>1779.6000000000001</v>
      </c>
      <c r="G6" s="25" t="s">
        <v>23</v>
      </c>
      <c r="H6" s="25" t="s">
        <v>13</v>
      </c>
      <c r="I6" s="26">
        <v>0.20960000000000001</v>
      </c>
      <c r="J6" s="27">
        <f>I6*$D$5*$D$12</f>
        <v>7087.0790399999996</v>
      </c>
      <c r="K6" s="43"/>
      <c r="M6" s="42"/>
      <c r="N6" s="54" t="s">
        <v>33</v>
      </c>
      <c r="O6" s="34">
        <v>0.05</v>
      </c>
      <c r="P6" s="38">
        <f>U22</f>
        <v>1889.98</v>
      </c>
      <c r="R6" s="25" t="s">
        <v>23</v>
      </c>
      <c r="S6" s="25" t="s">
        <v>13</v>
      </c>
      <c r="T6" s="26">
        <f t="shared" ref="T6:T13" si="0">U6/$U$14</f>
        <v>0.2107683916704485</v>
      </c>
      <c r="U6" s="27">
        <v>7087.26</v>
      </c>
      <c r="V6" s="43"/>
    </row>
    <row r="7" spans="2:22" x14ac:dyDescent="0.25">
      <c r="B7" s="42"/>
      <c r="C7" s="31" t="s">
        <v>4</v>
      </c>
      <c r="D7" s="35">
        <f>SUM(D5:D6)</f>
        <v>1</v>
      </c>
      <c r="E7" s="24">
        <f>SUM(E5:E6)</f>
        <v>35591.647040000003</v>
      </c>
      <c r="G7" s="2" t="s">
        <v>27</v>
      </c>
      <c r="H7" s="2" t="s">
        <v>26</v>
      </c>
      <c r="I7" s="19">
        <f>J7/(D5*D12)</f>
        <v>0.41123966355538205</v>
      </c>
      <c r="J7" s="21">
        <v>13905</v>
      </c>
      <c r="K7" s="43"/>
      <c r="M7" s="42"/>
      <c r="N7" s="31" t="s">
        <v>4</v>
      </c>
      <c r="O7" s="35">
        <f>SUM(O5:O6)</f>
        <v>1</v>
      </c>
      <c r="P7" s="24">
        <f>SUM(U14,U22)</f>
        <v>35515.800000000003</v>
      </c>
      <c r="R7" s="2" t="s">
        <v>27</v>
      </c>
      <c r="S7" s="2" t="s">
        <v>26</v>
      </c>
      <c r="T7" s="19">
        <f t="shared" si="0"/>
        <v>0.41252882457587653</v>
      </c>
      <c r="U7" s="21">
        <v>13871.62</v>
      </c>
      <c r="V7" s="43"/>
    </row>
    <row r="8" spans="2:22" x14ac:dyDescent="0.25">
      <c r="B8" s="42"/>
      <c r="G8" s="2" t="s">
        <v>9</v>
      </c>
      <c r="H8" s="2" t="s">
        <v>12</v>
      </c>
      <c r="I8" s="19">
        <v>0.12</v>
      </c>
      <c r="J8" s="21">
        <f>I8*$D$5*$D$12</f>
        <v>4057.4879999999998</v>
      </c>
      <c r="K8" s="43"/>
      <c r="M8" s="42"/>
      <c r="R8" s="2" t="s">
        <v>9</v>
      </c>
      <c r="S8" s="2" t="s">
        <v>12</v>
      </c>
      <c r="T8" s="19">
        <f t="shared" si="0"/>
        <v>0.10264671612469228</v>
      </c>
      <c r="U8" s="21">
        <f>607.07+2844.51</f>
        <v>3451.5800000000004</v>
      </c>
      <c r="V8" s="43"/>
    </row>
    <row r="9" spans="2:22" x14ac:dyDescent="0.25">
      <c r="B9" s="42"/>
      <c r="C9" s="30" t="s">
        <v>8</v>
      </c>
      <c r="D9" s="36"/>
      <c r="G9" s="2" t="s">
        <v>30</v>
      </c>
      <c r="H9" s="2" t="s">
        <v>31</v>
      </c>
      <c r="I9" s="19">
        <v>3.5000000000000003E-2</v>
      </c>
      <c r="J9" s="21">
        <f>I9*$D$5*$D$12</f>
        <v>1183.434</v>
      </c>
      <c r="K9" s="43"/>
      <c r="M9" s="42"/>
      <c r="N9" s="30" t="s">
        <v>8</v>
      </c>
      <c r="O9" s="36"/>
      <c r="R9" s="2" t="s">
        <v>30</v>
      </c>
      <c r="S9" s="2" t="s">
        <v>31</v>
      </c>
      <c r="T9" s="19">
        <f t="shared" si="0"/>
        <v>5.009900130316524E-2</v>
      </c>
      <c r="U9" s="21">
        <f>502.63+1181.99</f>
        <v>1684.62</v>
      </c>
      <c r="V9" s="43"/>
    </row>
    <row r="10" spans="2:22" x14ac:dyDescent="0.25">
      <c r="B10" s="42"/>
      <c r="C10" s="25" t="s">
        <v>36</v>
      </c>
      <c r="D10" s="27">
        <v>19579</v>
      </c>
      <c r="G10" s="2" t="s">
        <v>10</v>
      </c>
      <c r="H10" s="2" t="s">
        <v>14</v>
      </c>
      <c r="I10" s="19">
        <v>3.5000000000000003E-2</v>
      </c>
      <c r="J10" s="21">
        <f>I10*$D$5*$D$12</f>
        <v>1183.434</v>
      </c>
      <c r="K10" s="43"/>
      <c r="M10" s="42"/>
      <c r="N10" s="25" t="s">
        <v>36</v>
      </c>
      <c r="O10" s="27">
        <v>19579</v>
      </c>
      <c r="R10" s="2" t="s">
        <v>10</v>
      </c>
      <c r="S10" s="2" t="s">
        <v>14</v>
      </c>
      <c r="T10" s="19">
        <f t="shared" si="0"/>
        <v>3.5131336574096929E-2</v>
      </c>
      <c r="U10" s="21">
        <v>1181.32</v>
      </c>
      <c r="V10" s="43"/>
    </row>
    <row r="11" spans="2:22" x14ac:dyDescent="0.25">
      <c r="B11" s="42"/>
      <c r="C11" s="2" t="s">
        <v>37</v>
      </c>
      <c r="D11" s="21">
        <v>16013</v>
      </c>
      <c r="G11" s="2" t="s">
        <v>11</v>
      </c>
      <c r="H11" s="2" t="s">
        <v>15</v>
      </c>
      <c r="I11" s="19">
        <v>0.1</v>
      </c>
      <c r="J11" s="21">
        <f>I11*$D$5*$D$12</f>
        <v>3381.2400000000002</v>
      </c>
      <c r="K11" s="43"/>
      <c r="M11" s="42"/>
      <c r="N11" s="2" t="s">
        <v>37</v>
      </c>
      <c r="O11" s="21">
        <v>16013</v>
      </c>
      <c r="R11" s="2" t="s">
        <v>11</v>
      </c>
      <c r="S11" s="2" t="s">
        <v>15</v>
      </c>
      <c r="T11" s="19">
        <f t="shared" si="0"/>
        <v>0.10048230794074316</v>
      </c>
      <c r="U11" s="21">
        <v>3378.8</v>
      </c>
      <c r="V11" s="43"/>
    </row>
    <row r="12" spans="2:22" x14ac:dyDescent="0.25">
      <c r="B12" s="42"/>
      <c r="C12" s="31" t="s">
        <v>4</v>
      </c>
      <c r="D12" s="24">
        <f>SUM(D10:D11)</f>
        <v>35592</v>
      </c>
      <c r="G12" s="2" t="s">
        <v>0</v>
      </c>
      <c r="H12" s="2" t="s">
        <v>16</v>
      </c>
      <c r="I12" s="19">
        <v>0.03</v>
      </c>
      <c r="J12" s="21">
        <f>I12*$D$5*$D$12</f>
        <v>1014.372</v>
      </c>
      <c r="K12" s="43"/>
      <c r="M12" s="42"/>
      <c r="N12" s="31" t="s">
        <v>4</v>
      </c>
      <c r="O12" s="24">
        <f>SUM(O10:O11)</f>
        <v>35592</v>
      </c>
      <c r="R12" s="2" t="s">
        <v>0</v>
      </c>
      <c r="S12" s="2" t="s">
        <v>16</v>
      </c>
      <c r="T12" s="19">
        <f t="shared" si="0"/>
        <v>2.8841824526509689E-2</v>
      </c>
      <c r="U12" s="21">
        <v>969.83</v>
      </c>
      <c r="V12" s="43"/>
    </row>
    <row r="13" spans="2:22" x14ac:dyDescent="0.25">
      <c r="B13" s="42"/>
      <c r="G13" s="2" t="s">
        <v>28</v>
      </c>
      <c r="H13" s="2" t="s">
        <v>29</v>
      </c>
      <c r="I13" s="19">
        <f>J13/(D5*D12)</f>
        <v>5.9149897670677028E-2</v>
      </c>
      <c r="J13" s="21">
        <v>2000</v>
      </c>
      <c r="K13" s="43"/>
      <c r="M13" s="42"/>
      <c r="R13" s="2" t="s">
        <v>28</v>
      </c>
      <c r="S13" s="2" t="s">
        <v>29</v>
      </c>
      <c r="T13" s="19">
        <f t="shared" si="0"/>
        <v>5.950159728446771E-2</v>
      </c>
      <c r="U13" s="21">
        <v>2000.79</v>
      </c>
      <c r="V13" s="43"/>
    </row>
    <row r="14" spans="2:22" x14ac:dyDescent="0.25">
      <c r="B14" s="42"/>
      <c r="G14" s="22" t="s">
        <v>3</v>
      </c>
      <c r="H14" s="22"/>
      <c r="I14" s="23">
        <f>SUM(I6:I13)</f>
        <v>0.9999895612260592</v>
      </c>
      <c r="J14" s="24">
        <f>SUM(J6:J13)</f>
        <v>33812.047040000005</v>
      </c>
      <c r="K14" s="43"/>
      <c r="M14" s="42"/>
      <c r="R14" s="22" t="s">
        <v>3</v>
      </c>
      <c r="S14" s="22"/>
      <c r="T14" s="23">
        <f>SUM(T6:T13)</f>
        <v>1.0000000000000002</v>
      </c>
      <c r="U14" s="24">
        <f>SUM(U6:U13)</f>
        <v>33625.82</v>
      </c>
      <c r="V14" s="43"/>
    </row>
    <row r="15" spans="2:22" x14ac:dyDescent="0.25">
      <c r="B15" s="42"/>
      <c r="K15" s="43"/>
      <c r="M15" s="42"/>
      <c r="V15" s="43"/>
    </row>
    <row r="16" spans="2:22" x14ac:dyDescent="0.25">
      <c r="B16" s="42"/>
      <c r="G16" s="56" t="s">
        <v>33</v>
      </c>
      <c r="H16" s="17"/>
      <c r="I16" s="17"/>
      <c r="J16" s="17"/>
      <c r="K16" s="43"/>
      <c r="M16" s="42"/>
      <c r="R16" s="56" t="s">
        <v>33</v>
      </c>
      <c r="S16" s="17"/>
      <c r="T16" s="17"/>
      <c r="U16" s="17"/>
      <c r="V16" s="43"/>
    </row>
    <row r="17" spans="2:22" x14ac:dyDescent="0.25">
      <c r="B17" s="42"/>
      <c r="G17" s="15" t="s">
        <v>21</v>
      </c>
      <c r="H17" s="16" t="s">
        <v>22</v>
      </c>
      <c r="I17" s="16" t="s">
        <v>1</v>
      </c>
      <c r="J17" s="16" t="s">
        <v>2</v>
      </c>
      <c r="K17" s="43"/>
      <c r="M17" s="42"/>
      <c r="R17" s="15" t="s">
        <v>21</v>
      </c>
      <c r="S17" s="16" t="s">
        <v>22</v>
      </c>
      <c r="T17" s="16" t="s">
        <v>1</v>
      </c>
      <c r="U17" s="16" t="s">
        <v>2</v>
      </c>
      <c r="V17" s="43"/>
    </row>
    <row r="18" spans="2:22" x14ac:dyDescent="0.25">
      <c r="B18" s="42"/>
      <c r="G18" s="12" t="s">
        <v>18</v>
      </c>
      <c r="H18" s="9" t="s">
        <v>17</v>
      </c>
      <c r="I18" s="6">
        <v>0.25</v>
      </c>
      <c r="J18" s="3">
        <f>I18*$D$6*$D$12</f>
        <v>444.90000000000003</v>
      </c>
      <c r="K18" s="43"/>
      <c r="M18" s="42"/>
      <c r="R18" s="12" t="s">
        <v>18</v>
      </c>
      <c r="S18" s="9" t="s">
        <v>17</v>
      </c>
      <c r="T18" s="6">
        <f>U18/$U$22</f>
        <v>0.23483846389908886</v>
      </c>
      <c r="U18" s="3">
        <v>443.84</v>
      </c>
      <c r="V18" s="43"/>
    </row>
    <row r="19" spans="2:22" x14ac:dyDescent="0.25">
      <c r="B19" s="42"/>
      <c r="G19" s="12" t="s">
        <v>6</v>
      </c>
      <c r="H19" s="9" t="s">
        <v>19</v>
      </c>
      <c r="I19" s="6">
        <v>0.25</v>
      </c>
      <c r="J19" s="3">
        <f>I19*$D$6*$D$12</f>
        <v>444.90000000000003</v>
      </c>
      <c r="K19" s="43"/>
      <c r="M19" s="42"/>
      <c r="R19" s="12" t="s">
        <v>6</v>
      </c>
      <c r="S19" s="9" t="s">
        <v>19</v>
      </c>
      <c r="T19" s="6">
        <f>U19/$U$22</f>
        <v>0.26460068360511751</v>
      </c>
      <c r="U19" s="3">
        <v>500.09</v>
      </c>
      <c r="V19" s="43"/>
    </row>
    <row r="20" spans="2:22" x14ac:dyDescent="0.25">
      <c r="B20" s="42"/>
      <c r="G20" s="12" t="s">
        <v>7</v>
      </c>
      <c r="H20" s="9" t="s">
        <v>20</v>
      </c>
      <c r="I20" s="6">
        <v>0.25</v>
      </c>
      <c r="J20" s="3">
        <f>I20*$D$6*$D$12</f>
        <v>444.90000000000003</v>
      </c>
      <c r="K20" s="43"/>
      <c r="M20" s="42"/>
      <c r="R20" s="12" t="s">
        <v>7</v>
      </c>
      <c r="S20" s="9" t="s">
        <v>20</v>
      </c>
      <c r="T20" s="6">
        <f>U20/$U$22</f>
        <v>0.26383877078064316</v>
      </c>
      <c r="U20" s="3">
        <v>498.65</v>
      </c>
      <c r="V20" s="43"/>
    </row>
    <row r="21" spans="2:22" x14ac:dyDescent="0.25">
      <c r="B21" s="42"/>
      <c r="G21" s="13" t="s">
        <v>24</v>
      </c>
      <c r="H21" s="10" t="s">
        <v>25</v>
      </c>
      <c r="I21" s="7">
        <v>0.25</v>
      </c>
      <c r="J21" s="5">
        <f>I21*$D$6*$D$12</f>
        <v>444.90000000000003</v>
      </c>
      <c r="K21" s="43"/>
      <c r="M21" s="42"/>
      <c r="R21" s="13" t="s">
        <v>24</v>
      </c>
      <c r="S21" s="10" t="s">
        <v>25</v>
      </c>
      <c r="T21" s="7">
        <f>U21/$U$22</f>
        <v>0.23672208171515041</v>
      </c>
      <c r="U21" s="5">
        <v>447.4</v>
      </c>
      <c r="V21" s="43"/>
    </row>
    <row r="22" spans="2:22" x14ac:dyDescent="0.25">
      <c r="B22" s="42"/>
      <c r="G22" s="14" t="s">
        <v>4</v>
      </c>
      <c r="H22" s="11"/>
      <c r="I22" s="8">
        <f>SUM(I18:I21)</f>
        <v>1</v>
      </c>
      <c r="J22" s="4">
        <f>SUM(J18:J21)</f>
        <v>1779.6000000000001</v>
      </c>
      <c r="K22" s="43"/>
      <c r="M22" s="42"/>
      <c r="R22" s="14" t="s">
        <v>4</v>
      </c>
      <c r="S22" s="11"/>
      <c r="T22" s="8">
        <f>SUM(T18:T21)</f>
        <v>0.99999999999999989</v>
      </c>
      <c r="U22" s="4">
        <f>SUM(U18:U21)</f>
        <v>1889.98</v>
      </c>
      <c r="V22" s="43"/>
    </row>
    <row r="23" spans="2:22" x14ac:dyDescent="0.25">
      <c r="B23" s="42"/>
      <c r="K23" s="43"/>
      <c r="M23" s="42"/>
      <c r="V23" s="43"/>
    </row>
    <row r="24" spans="2:22" x14ac:dyDescent="0.25">
      <c r="B24" s="44"/>
      <c r="C24" s="45"/>
      <c r="D24" s="45"/>
      <c r="E24" s="45"/>
      <c r="F24" s="45"/>
      <c r="G24" s="45"/>
      <c r="H24" s="45"/>
      <c r="I24" s="45"/>
      <c r="J24" s="45"/>
      <c r="K24" s="46"/>
      <c r="M24" s="44"/>
      <c r="N24" s="45"/>
      <c r="O24" s="45"/>
      <c r="P24" s="45"/>
      <c r="Q24" s="45"/>
      <c r="R24" s="45"/>
      <c r="S24" s="45"/>
      <c r="T24" s="45"/>
      <c r="U24" s="45"/>
      <c r="V24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Caleb Goetz | 08-21-2025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2025-08-20T18:01:16Z</dcterms:created>
  <dcterms:modified xsi:type="dcterms:W3CDTF">2025-08-21T17:35:26Z</dcterms:modified>
</cp:coreProperties>
</file>