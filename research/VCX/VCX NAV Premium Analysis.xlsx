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pilc\Desktop\valuation\research\VCX\"/>
    </mc:Choice>
  </mc:AlternateContent>
  <xr:revisionPtr revIDLastSave="0" documentId="13_ncr:1_{48F18C6C-CD21-4131-ABF1-85D76D90BFB2}" xr6:coauthVersionLast="47" xr6:coauthVersionMax="47" xr10:uidLastSave="{00000000-0000-0000-0000-000000000000}"/>
  <bookViews>
    <workbookView xWindow="-96" yWindow="-96" windowWidth="23232" windowHeight="13872" xr2:uid="{01A7BFDD-AF2A-4D13-B721-C63A7C695F5C}"/>
  </bookViews>
  <sheets>
    <sheet name="Summary" sheetId="6" r:id="rId1"/>
    <sheet name="Schedule of Fund Valuation" sheetId="5" r:id="rId2"/>
    <sheet name="Schedule of Investments" sheetId="4"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5" l="1"/>
  <c r="E34" i="5"/>
  <c r="E24" i="5"/>
  <c r="E25" i="5" s="1"/>
  <c r="E28" i="5"/>
  <c r="E38" i="5" s="1"/>
  <c r="E9" i="5"/>
  <c r="E11" i="5" s="1"/>
  <c r="E15" i="5" s="1"/>
  <c r="I86" i="4"/>
  <c r="I83" i="4"/>
  <c r="I73" i="4"/>
  <c r="I69" i="4"/>
  <c r="I64" i="4"/>
  <c r="I58" i="4"/>
  <c r="I55" i="4"/>
  <c r="I52" i="4"/>
  <c r="I49" i="4"/>
  <c r="I43" i="4"/>
  <c r="I34" i="4"/>
  <c r="E39" i="5" l="1"/>
  <c r="E33" i="5"/>
  <c r="E32" i="5"/>
  <c r="E17" i="5"/>
  <c r="E16" i="5"/>
  <c r="E18" i="5" s="1"/>
  <c r="I65" i="4"/>
  <c r="I87" i="4" l="1"/>
  <c r="I89" i="4" l="1"/>
  <c r="K72" i="4" l="1"/>
  <c r="K48" i="4"/>
  <c r="K30" i="4"/>
  <c r="K14" i="4"/>
  <c r="K89" i="4"/>
  <c r="K47" i="4"/>
  <c r="K29" i="4"/>
  <c r="K13" i="4"/>
  <c r="K88" i="4"/>
  <c r="K68" i="4"/>
  <c r="K46" i="4"/>
  <c r="K28" i="4"/>
  <c r="K12" i="4"/>
  <c r="K45" i="4"/>
  <c r="K27" i="4"/>
  <c r="K26" i="4"/>
  <c r="K39" i="4"/>
  <c r="K34" i="4"/>
  <c r="K85" i="4"/>
  <c r="K63" i="4"/>
  <c r="K42" i="4"/>
  <c r="K25" i="4"/>
  <c r="K22" i="4"/>
  <c r="K62" i="4"/>
  <c r="K41" i="4"/>
  <c r="K24" i="4"/>
  <c r="K82" i="4"/>
  <c r="K61" i="4"/>
  <c r="K40" i="4"/>
  <c r="K23" i="4"/>
  <c r="K60" i="4"/>
  <c r="K18" i="4"/>
  <c r="K81" i="4"/>
  <c r="K77" i="4"/>
  <c r="K80" i="4"/>
  <c r="K38" i="4"/>
  <c r="K21" i="4"/>
  <c r="K20" i="4"/>
  <c r="K54" i="4"/>
  <c r="K79" i="4"/>
  <c r="K57" i="4"/>
  <c r="K37" i="4"/>
  <c r="K78" i="4"/>
  <c r="K55" i="4"/>
  <c r="K36" i="4"/>
  <c r="K19" i="4"/>
  <c r="K76" i="4"/>
  <c r="K33" i="4"/>
  <c r="K17" i="4"/>
  <c r="K49" i="4"/>
  <c r="K15" i="4"/>
  <c r="K75" i="4"/>
  <c r="K51" i="4"/>
  <c r="K32" i="4"/>
  <c r="K16" i="4"/>
  <c r="K73" i="4"/>
  <c r="K31" i="4"/>
  <c r="K52" i="4"/>
  <c r="K64" i="4"/>
  <c r="K69" i="4"/>
  <c r="K83" i="4"/>
  <c r="K43" i="4"/>
  <c r="K58" i="4"/>
  <c r="K86" i="4"/>
  <c r="K65" i="4"/>
  <c r="K87" i="4"/>
</calcChain>
</file>

<file path=xl/sharedStrings.xml><?xml version="1.0" encoding="utf-8"?>
<sst xmlns="http://schemas.openxmlformats.org/spreadsheetml/2006/main" count="181" uniqueCount="135">
  <si>
    <t>Description</t>
  </si>
  <si>
    <t>N/A</t>
  </si>
  <si>
    <t>Value as of</t>
  </si>
  <si>
    <t>% of Net</t>
  </si>
  <si>
    <t>Assets</t>
  </si>
  <si>
    <t>Technology Private Equity Portfolio Companies</t>
  </si>
  <si>
    <t>Artificial Intelligence</t>
  </si>
  <si>
    <t>Databricks, Inc.(2)(3)(4)(9)</t>
  </si>
  <si>
    <t>OpenAI Group PBC(1)(2)(3)(4)</t>
  </si>
  <si>
    <t>Anthropic, PBC(1)(2)(3)(4)</t>
  </si>
  <si>
    <t>Databricks, Inc.(1)(2)(3)</t>
  </si>
  <si>
    <t>Anthropic, PBC (1)(2)(3)(4)</t>
  </si>
  <si>
    <t>Flock Group, Inc.(1)(2)(3)</t>
  </si>
  <si>
    <t>Anduril Industries, Inc. SPV(1)(2)(3)(5)</t>
  </si>
  <si>
    <t>Space Exploration Technologies Corp.(1)(2)(3)(4)</t>
  </si>
  <si>
    <t>Visual Layer, Inc.(1)(2)(3)(6)</t>
  </si>
  <si>
    <t>AI-LLM, LLC(1)(2)(3)(7)</t>
  </si>
  <si>
    <t>Handshake (1)(2)(3)</t>
  </si>
  <si>
    <t>Anyscale, Inc.(1)(2)(3)</t>
  </si>
  <si>
    <t>Intercom, Inc.(1)(2)(3)</t>
  </si>
  <si>
    <t>Handshake(1)(2)(3)</t>
  </si>
  <si>
    <t>Risotto(1)(2)(3)</t>
  </si>
  <si>
    <t>Luminos, Inc.(1)(2)(3)</t>
  </si>
  <si>
    <t>Risotto(1)(2)(3)(8)</t>
  </si>
  <si>
    <t>Luminos, Inc.(1)(2)(3)(8)</t>
  </si>
  <si>
    <t>Gumloop(1)(2)(3)(8)</t>
  </si>
  <si>
    <t>Total Artificial Intelligence (Cost $140,088)</t>
  </si>
  <si>
    <t>Data Infrastructure</t>
  </si>
  <si>
    <t>dbt Labs, Inc.(1)(2)(3)(10)</t>
  </si>
  <si>
    <t>Vanta, Inc.(1)(2)(3)</t>
  </si>
  <si>
    <t>Immuta, Inc.(1)(2)(3)</t>
  </si>
  <si>
    <t>DittoLive, Inc.(1)(2)(3)</t>
  </si>
  <si>
    <t>Omni Analytics, Inc.(1)(2)(3)</t>
  </si>
  <si>
    <t>Hightouch(1)(2)(3)</t>
  </si>
  <si>
    <t>Hightouch(1)(2)(3)(8)</t>
  </si>
  <si>
    <t>Total Data Infrastructure (Cost $22,889)</t>
  </si>
  <si>
    <t>Financial Technology</t>
  </si>
  <si>
    <t>Ramp Business Corp.(1)(2)(3)</t>
  </si>
  <si>
    <t>Ramp Business Corp. (1)(2)(3)</t>
  </si>
  <si>
    <t>Stripe, Inc.(1)(2)(3)</t>
  </si>
  <si>
    <t>Total Financial Technology (Cost $16,253)</t>
  </si>
  <si>
    <t>Gaming/Entertainment</t>
  </si>
  <si>
    <t>Epic Games, Inc.(1)(2)(3)</t>
  </si>
  <si>
    <t>Total Gaming/Entertainment (Cost $19,180)</t>
  </si>
  <si>
    <t>Vertical/Horizontal Software</t>
  </si>
  <si>
    <t>Canva, Inc.(1)(2)(3)</t>
  </si>
  <si>
    <t>Total Vertical/Horizontal Software (Cost $6,220)</t>
  </si>
  <si>
    <t>Biotechnology</t>
  </si>
  <si>
    <t>Loyal Animal Health, Inc.(1)(2)(3)</t>
  </si>
  <si>
    <t>Total Biotechnology (Cost $8,334)</t>
  </si>
  <si>
    <t>Property Technology</t>
  </si>
  <si>
    <t>Inspectify, Inc.(1)(2)(3)(11)</t>
  </si>
  <si>
    <t>Rhino Labs, Inc.(1)(2)(3)</t>
  </si>
  <si>
    <t>Inspectify, Inc.(1)(2)(3)(11)(12)</t>
  </si>
  <si>
    <t>Total Property Technology (Cost $7,391)</t>
  </si>
  <si>
    <t>Total Technology Private Equity Portfolio Companies (Cost $220,355)</t>
  </si>
  <si>
    <t>Technology Venture Fund</t>
  </si>
  <si>
    <t>Theory Ventures, LP (2)(3)(9)(13)</t>
  </si>
  <si>
    <t>Total Technology Venture Fund (Cost $4,296)</t>
  </si>
  <si>
    <t>Technology Public Equity</t>
  </si>
  <si>
    <t>ServiceTitan, Inc.(2)</t>
  </si>
  <si>
    <t>Total Technology Public Equity (Cost $7,748)</t>
  </si>
  <si>
    <t>Technology Fixed Income</t>
  </si>
  <si>
    <t>Total Technology Fixed Income (Cost $66,116)</t>
  </si>
  <si>
    <t>Short-Term Investment</t>
  </si>
  <si>
    <t>Total Short-Term Investment (Cost $26,584)</t>
  </si>
  <si>
    <t>Total investments, at value (Cost $325,099)</t>
  </si>
  <si>
    <t>Liabilities in excess of other assets</t>
  </si>
  <si>
    <t>Total Net Assets</t>
  </si>
  <si>
    <t>Par/Shares</t>
  </si>
  <si>
    <t>Commercial Mortgage-Backed Security</t>
  </si>
  <si>
    <t>Money Market Fund</t>
  </si>
  <si>
    <t>Common Stock in Public Company</t>
  </si>
  <si>
    <t>Portfolio Fund</t>
  </si>
  <si>
    <t>Common Stock</t>
  </si>
  <si>
    <t>Convertible Rights</t>
  </si>
  <si>
    <t>Series C - Preferred Stock</t>
  </si>
  <si>
    <t>Series F - Convertible Preferred</t>
  </si>
  <si>
    <t>Class B - Preferred Stock</t>
  </si>
  <si>
    <t>Series E - Preferred Stock</t>
  </si>
  <si>
    <t>Partnership Interest</t>
  </si>
  <si>
    <t>Simple Agreement for Future Equity</t>
  </si>
  <si>
    <t>Class C - Preferred Stock</t>
  </si>
  <si>
    <t>Series D - Preferred Stock</t>
  </si>
  <si>
    <t>Series A - Preferred Stock</t>
  </si>
  <si>
    <t>Series Seed 2 - Preferred Stock</t>
  </si>
  <si>
    <t>Series Seed 1 - Preferred Stock</t>
  </si>
  <si>
    <t>Series A-2 - Preferred Stock</t>
  </si>
  <si>
    <t>Series B-1 - Preferred Stock</t>
  </si>
  <si>
    <t>Series B - Preferred Stock</t>
  </si>
  <si>
    <t>Series C-1 - Preferred Stock</t>
  </si>
  <si>
    <t>Series A-5 - Preferred Stock</t>
  </si>
  <si>
    <t>Series P - Preferred Stock</t>
  </si>
  <si>
    <t>SWITCH Data Centers - SWCH 2025-DATA E, 7.09% (3.34% + SOFR), 02/15/27(14)(15)</t>
  </si>
  <si>
    <t>QTS Data Centers - BX 2025-VOLT C, 6.10% (2.35% + SOFR), 12/15/27(14)(15)(16)</t>
  </si>
  <si>
    <t>QTS Data Centers - BX 2025-VLT6 E, 6.94% (3.19% + SOFR), 03/15/27(14)(15)</t>
  </si>
  <si>
    <t>Vantage Data Centers - VDCM 2025-AZ D, 6.23%, 07/13/30(14)(17)</t>
  </si>
  <si>
    <t>QTS Data Centers - BX 2025-VLT7 D, 7.00% (3.25% + SOFR), 07/15/27(14)(15)(16)</t>
  </si>
  <si>
    <t>QTS Data Centers - BX 2025-VLT7 E, 7.50% (3.75% + SOFR), 07/15/27(14)(15)(16)</t>
  </si>
  <si>
    <t>EdgeCore Data Centers - ECORE 2025-1A B, 4.55%, 07/25/30(14)</t>
  </si>
  <si>
    <t>QTS Data Centers - BX 2025-VLT6 D, 6.34% (2.59% + SOFR), 03/15/27(14)(15)</t>
  </si>
  <si>
    <t>JP Morgan U.S. Treasury Plus Money Market Fund, Capital Shares, 3.75% (18)</t>
  </si>
  <si>
    <t>Security Type</t>
  </si>
  <si>
    <t>FUNDRISE GROWTH TECH FUND, LLC</t>
  </si>
  <si>
    <t>SCHEDULE OF INVESTMENTS (UNAUDITIED)</t>
  </si>
  <si>
    <t>December 31, 2025</t>
  </si>
  <si>
    <t>DECEMBER 31, 2025</t>
  </si>
  <si>
    <t>(Amounts in thousands)</t>
  </si>
  <si>
    <t>Common shares outstanding as of September 30, 2025; unlimited shares authorized</t>
  </si>
  <si>
    <t>Net Asset Value</t>
  </si>
  <si>
    <t>Net Assets</t>
  </si>
  <si>
    <t>Net Asset Value Per Share</t>
  </si>
  <si>
    <t>Listing Date</t>
  </si>
  <si>
    <t>Lock-up</t>
  </si>
  <si>
    <t>6 months after Listing Date</t>
  </si>
  <si>
    <t>Date Lock-up Expires</t>
  </si>
  <si>
    <t>Days Until Expiration</t>
  </si>
  <si>
    <t>Lock-up Agreement</t>
  </si>
  <si>
    <t>Net Asset Value Premium</t>
  </si>
  <si>
    <t>Market Price Per Share</t>
  </si>
  <si>
    <t>Excess of Market Price Per Share less Net Asset Value Per Share (NAV Premium $ Amount)</t>
  </si>
  <si>
    <t>Net Asset Value Premium Relative to Net Asset Value Per Share</t>
  </si>
  <si>
    <t>Market Price Per Share to Net Asset Value Per Share</t>
  </si>
  <si>
    <t>(Amounts true to scale)</t>
  </si>
  <si>
    <t>SCHEDULE OF FUND VALUATION</t>
  </si>
  <si>
    <t>Float Calculation</t>
  </si>
  <si>
    <t>Restricted Shares (Subject to Lock-up)</t>
  </si>
  <si>
    <t>Tradeable Float (Not Subject to Lock-up)</t>
  </si>
  <si>
    <t>Tradeable Float: High Estimate</t>
  </si>
  <si>
    <t>Tradeable Float: Low Estimate</t>
  </si>
  <si>
    <t>% of shares outstanding tradeable (assuming low float estimate)</t>
  </si>
  <si>
    <t>% of shares outstanding tradeable (assuming high float estimate)</t>
  </si>
  <si>
    <t>Today's Date</t>
  </si>
  <si>
    <t>% of shares outstanding restricted (assuming high float estimate)</t>
  </si>
  <si>
    <t>% of shares outstanding restricted (assuming low float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</si>
</sst>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 _)_);[Red]_(\(\ #,##0\ \)_);_(\ &quot; - &quot;\ _)_);_(@\ _)_)"/>
    <numFmt numFmtId="165" formatCode="&quot;$&quot;* _(\ #,##0.00\ _)_);[Red]&quot;$&quot;* _(\(\ #,##0.00\ \)_);&quot;$&quot;* _(\ &quot; - &quot;\ _)_);_(@\ _)_)"/>
    <numFmt numFmtId="166" formatCode="&quot;$&quot;* _(\ #,##0\ _)_);[Red]&quot;$&quot;* _(\(\ #,##0\ \)_);&quot;$&quot;* _(\ &quot; - &quot;\ _)_);_(@\ _)_)"/>
    <numFmt numFmtId="167" formatCode="#,##0.0%\ _)_);[Red]_(\(\ #,##0.0%\ \)_);_(\ &quot; - &quot;\ _)_);_(@\ _)_)"/>
    <numFmt numFmtId="168" formatCode="mmmm\ dd\,\ yyyy"/>
    <numFmt numFmtId="169" formatCode="_(\ #,##0.0\x\ _)_);[Red]_(\(\ #,##0.0\x\ \)_);_(\ &quot; - &quot;\ _)_);_(@\ _)_)"/>
    <numFmt numFmtId="170" formatCode="#,##0%\ _)_);[Red]_(\(\ #,##0%\ \)_);_(\ &quot; - &quot;\ _)_);_(@\ _)_)"/>
  </numFmts>
  <fonts count="5" x14ac:knownFonts="1">
    <font>
      <sz val="11"/>
      <color theme="1"/>
      <name val="Calibri"/>
      <family val="2"/>
    </font>
    <font>
      <b/>
      <sz val="11"/>
      <color theme="1"/>
      <name val="Calibri"/>
      <family val="2"/>
    </font>
    <font>
      <b/>
      <i/>
      <sz val="11"/>
      <color theme="1"/>
      <name val="Calibri"/>
      <family val="2"/>
    </font>
    <font>
      <i/>
      <sz val="11"/>
      <color theme="1"/>
      <name val="Calibri"/>
      <family val="2"/>
    </font>
    <font>
      <b/>
      <u/>
      <sz val="11"/>
      <color theme="1"/>
      <name val="Calibri"/>
      <family val="2"/>
    </font>
  </fonts>
  <fills count="2">
    <fill>
      <patternFill patternType="none"/>
    </fill>
    <fill>
      <patternFill patternType="gray125"/>
    </fill>
  </fills>
  <borders count="6">
    <border>
      <left/>
      <right/>
      <top/>
      <bottom/>
      <diagonal/>
    </border>
    <border>
      <left/>
      <right/>
      <top style="thin">
        <color indexed="64"/>
      </top>
      <bottom style="double">
        <color indexed="64"/>
      </bottom>
      <diagonal/>
    </border>
    <border>
      <left/>
      <right/>
      <top style="thin">
        <color indexed="64"/>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46">
    <xf numFmtId="0" fontId="0" fillId="0" borderId="0" xfId="0"/>
    <xf numFmtId="0" fontId="0" fillId="0" borderId="0" xfId="0" applyAlignment="1">
      <alignment horizontal="left" indent="2"/>
    </xf>
    <xf numFmtId="0" fontId="0" fillId="0" borderId="0" xfId="0" applyAlignment="1">
      <alignment horizontal="left" indent="4"/>
    </xf>
    <xf numFmtId="0" fontId="1" fillId="0" borderId="0" xfId="0" applyFont="1"/>
    <xf numFmtId="0" fontId="1" fillId="0" borderId="2" xfId="0" applyFont="1" applyBorder="1"/>
    <xf numFmtId="0" fontId="1" fillId="0" borderId="3" xfId="0" applyFont="1" applyBorder="1"/>
    <xf numFmtId="0" fontId="1" fillId="0" borderId="0" xfId="0" applyFont="1" applyAlignment="1">
      <alignment horizontal="left" indent="2"/>
    </xf>
    <xf numFmtId="0" fontId="1" fillId="0" borderId="0" xfId="0" applyFont="1" applyAlignment="1">
      <alignment horizontal="left"/>
    </xf>
    <xf numFmtId="0" fontId="1" fillId="0" borderId="3" xfId="0" applyFont="1" applyBorder="1" applyAlignment="1">
      <alignment horizontal="center"/>
    </xf>
    <xf numFmtId="0" fontId="0" fillId="0" borderId="0" xfId="0" applyAlignment="1">
      <alignment horizontal="center"/>
    </xf>
    <xf numFmtId="0" fontId="1" fillId="0" borderId="0" xfId="0" applyFont="1" applyAlignment="1">
      <alignment horizontal="center"/>
    </xf>
    <xf numFmtId="164" fontId="0" fillId="0" borderId="0" xfId="0" applyNumberFormat="1"/>
    <xf numFmtId="164" fontId="0" fillId="0" borderId="0" xfId="0" applyNumberFormat="1" applyAlignment="1">
      <alignment horizontal="right"/>
    </xf>
    <xf numFmtId="164" fontId="1" fillId="0" borderId="0" xfId="0" applyNumberFormat="1" applyFont="1" applyAlignment="1">
      <alignment horizontal="right"/>
    </xf>
    <xf numFmtId="165" fontId="0" fillId="0" borderId="0" xfId="0" applyNumberFormat="1"/>
    <xf numFmtId="166" fontId="0" fillId="0" borderId="0" xfId="0" applyNumberFormat="1" applyAlignment="1">
      <alignment horizontal="right"/>
    </xf>
    <xf numFmtId="166" fontId="1" fillId="0" borderId="0" xfId="0" applyNumberFormat="1" applyFont="1" applyAlignment="1">
      <alignment horizontal="right"/>
    </xf>
    <xf numFmtId="167" fontId="0" fillId="0" borderId="0" xfId="0" applyNumberFormat="1" applyAlignment="1">
      <alignment horizontal="right"/>
    </xf>
    <xf numFmtId="167" fontId="1" fillId="0" borderId="0" xfId="0" applyNumberFormat="1" applyFont="1" applyAlignment="1">
      <alignment horizontal="right"/>
    </xf>
    <xf numFmtId="166" fontId="1" fillId="0" borderId="1" xfId="0" applyNumberFormat="1" applyFont="1" applyBorder="1" applyAlignment="1">
      <alignment horizontal="right"/>
    </xf>
    <xf numFmtId="167" fontId="1" fillId="0" borderId="1" xfId="0" applyNumberFormat="1" applyFont="1" applyBorder="1" applyAlignment="1">
      <alignment horizontal="right"/>
    </xf>
    <xf numFmtId="166" fontId="1" fillId="0" borderId="4" xfId="0" applyNumberFormat="1" applyFont="1" applyBorder="1" applyAlignment="1">
      <alignment horizontal="right"/>
    </xf>
    <xf numFmtId="167" fontId="1" fillId="0" borderId="4" xfId="0" applyNumberFormat="1" applyFont="1" applyBorder="1" applyAlignment="1">
      <alignment horizontal="right"/>
    </xf>
    <xf numFmtId="15" fontId="1" fillId="0" borderId="3" xfId="0" applyNumberFormat="1" applyFont="1" applyBorder="1" applyAlignment="1">
      <alignment horizontal="center"/>
    </xf>
    <xf numFmtId="0" fontId="0" fillId="0" borderId="2" xfId="0" applyBorder="1"/>
    <xf numFmtId="0" fontId="0" fillId="0" borderId="5" xfId="0" applyBorder="1"/>
    <xf numFmtId="0" fontId="3" fillId="0" borderId="5" xfId="0" applyFont="1" applyBorder="1"/>
    <xf numFmtId="165" fontId="0" fillId="0" borderId="4" xfId="0" applyNumberFormat="1" applyBorder="1"/>
    <xf numFmtId="165" fontId="1" fillId="0" borderId="4" xfId="0" applyNumberFormat="1" applyFont="1" applyBorder="1"/>
    <xf numFmtId="168" fontId="0" fillId="0" borderId="0" xfId="0" applyNumberFormat="1"/>
    <xf numFmtId="0" fontId="0" fillId="0" borderId="0" xfId="0" applyAlignment="1">
      <alignment horizontal="right"/>
    </xf>
    <xf numFmtId="1" fontId="1" fillId="0" borderId="4" xfId="0" applyNumberFormat="1" applyFont="1" applyBorder="1"/>
    <xf numFmtId="165" fontId="1" fillId="0" borderId="0" xfId="0" applyNumberFormat="1" applyFont="1"/>
    <xf numFmtId="169" fontId="1" fillId="0" borderId="0" xfId="0" applyNumberFormat="1" applyFont="1"/>
    <xf numFmtId="166" fontId="0" fillId="0" borderId="0" xfId="0" applyNumberFormat="1"/>
    <xf numFmtId="0" fontId="1" fillId="0" borderId="5" xfId="0" applyFont="1" applyBorder="1"/>
    <xf numFmtId="165" fontId="1" fillId="0" borderId="5" xfId="0" applyNumberFormat="1" applyFont="1" applyBorder="1"/>
    <xf numFmtId="0" fontId="3" fillId="0" borderId="0" xfId="0" applyFont="1" applyAlignment="1">
      <alignment horizontal="center"/>
    </xf>
    <xf numFmtId="0" fontId="2" fillId="0" borderId="0" xfId="0" applyFont="1" applyAlignment="1">
      <alignment horizontal="center"/>
    </xf>
    <xf numFmtId="0" fontId="3" fillId="0" borderId="0" xfId="0" applyFont="1"/>
    <xf numFmtId="164" fontId="1" fillId="0" borderId="4" xfId="0" applyNumberFormat="1" applyFont="1" applyBorder="1"/>
    <xf numFmtId="164" fontId="1" fillId="0" borderId="0" xfId="0" applyNumberFormat="1" applyFont="1"/>
    <xf numFmtId="0" fontId="3" fillId="0" borderId="0" xfId="0" applyFont="1" applyAlignment="1">
      <alignment horizontal="left" indent="2"/>
    </xf>
    <xf numFmtId="0" fontId="1" fillId="0" borderId="5" xfId="0" applyFont="1" applyBorder="1" applyAlignment="1">
      <alignment horizontal="left"/>
    </xf>
    <xf numFmtId="0" fontId="4" fillId="0" borderId="0" xfId="0" applyFont="1" applyAlignment="1">
      <alignment horizontal="left" indent="2"/>
    </xf>
    <xf numFmtId="170"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35</xdr:col>
      <xdr:colOff>0</xdr:colOff>
      <xdr:row>26</xdr:row>
      <xdr:rowOff>0</xdr:rowOff>
    </xdr:to>
    <xdr:sp macro="" textlink="">
      <xdr:nvSpPr>
        <xdr:cNvPr id="2" name="TextBox 1">
          <a:extLst>
            <a:ext uri="{FF2B5EF4-FFF2-40B4-BE49-F238E27FC236}">
              <a16:creationId xmlns:a16="http://schemas.microsoft.com/office/drawing/2014/main" id="{29130B0D-6F3B-610F-9FEE-F5D55DEA4670}"/>
            </a:ext>
          </a:extLst>
        </xdr:cNvPr>
        <xdr:cNvSpPr txBox="1"/>
      </xdr:nvSpPr>
      <xdr:spPr>
        <a:xfrm>
          <a:off x="370703" y="363838"/>
          <a:ext cx="6116594" cy="4366054"/>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latin typeface="Calibri" panose="020F0502020204030204" pitchFamily="34" charset="0"/>
              <a:ea typeface="Calibri" panose="020F0502020204030204" pitchFamily="34" charset="0"/>
              <a:cs typeface="Calibri" panose="020F0502020204030204" pitchFamily="34" charset="0"/>
            </a:rPr>
            <a:t>Why the Premium</a:t>
          </a:r>
          <a:r>
            <a:rPr lang="en-US" sz="1500" b="1" baseline="0">
              <a:latin typeface="Calibri" panose="020F0502020204030204" pitchFamily="34" charset="0"/>
              <a:ea typeface="Calibri" panose="020F0502020204030204" pitchFamily="34" charset="0"/>
              <a:cs typeface="Calibri" panose="020F0502020204030204" pitchFamily="34" charset="0"/>
            </a:rPr>
            <a:t> over Net Asset Value Exists?</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500" b="1" baseline="0">
              <a:latin typeface="Calibri" panose="020F0502020204030204" pitchFamily="34" charset="0"/>
              <a:ea typeface="Calibri" panose="020F0502020204030204" pitchFamily="34" charset="0"/>
              <a:cs typeface="Calibri" panose="020F0502020204030204" pitchFamily="34" charset="0"/>
            </a:rPr>
            <a:t>3 Reasons:</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200" b="1" baseline="0">
              <a:latin typeface="Calibri" panose="020F0502020204030204" pitchFamily="34" charset="0"/>
              <a:ea typeface="Calibri" panose="020F0502020204030204" pitchFamily="34" charset="0"/>
              <a:cs typeface="Calibri" panose="020F0502020204030204" pitchFamily="34" charset="0"/>
            </a:rPr>
            <a:t>Retail Demand:</a:t>
          </a:r>
        </a:p>
        <a:p>
          <a:r>
            <a:rPr lang="en-US">
              <a:latin typeface="Calibri" panose="020F0502020204030204" pitchFamily="34" charset="0"/>
              <a:ea typeface="Calibri" panose="020F0502020204030204" pitchFamily="34" charset="0"/>
              <a:cs typeface="Calibri" panose="020F0502020204030204" pitchFamily="34" charset="0"/>
            </a:rPr>
            <a:t>Retail investors have been locked out of the best tech investments for the last decade. By the time a company like Uber or Airbnb finally IPOs, the venture capitalists have already squeezed all the 100x gains out of it. VCX is holding the holy trinity of current private tech: OpenAI, Anthropic, and SpaceX. Because retail investors literally cannot buy those companies anywhere else, they are treating VCX like a VIP pass. They are so desperate for the exposure that they are completely ignoring the price tag.</a:t>
          </a: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200" b="1">
              <a:latin typeface="Calibri" panose="020F0502020204030204" pitchFamily="34" charset="0"/>
              <a:ea typeface="Calibri" panose="020F0502020204030204" pitchFamily="34" charset="0"/>
              <a:cs typeface="Calibri" panose="020F0502020204030204" pitchFamily="34" charset="0"/>
            </a:rPr>
            <a:t>The Narrative of "Getting in Early":</a:t>
          </a:r>
        </a:p>
        <a:p>
          <a:r>
            <a:rPr lang="en-US">
              <a:latin typeface="Calibri" panose="020F0502020204030204" pitchFamily="34" charset="0"/>
              <a:ea typeface="Calibri" panose="020F0502020204030204" pitchFamily="34" charset="0"/>
              <a:cs typeface="Calibri" panose="020F0502020204030204" pitchFamily="34" charset="0"/>
            </a:rPr>
            <a:t>There is a prevailing narrative on stock forums right now that buying VCX, even at a premium, is smart because it lets you "front-run" the massive IPOs that these companies will eventually have. People think they are beating Wall Street to the punch. What they fail to realize is the math we just did. By paying a massive premium, they aren't "getting in early".</a:t>
          </a:r>
          <a:r>
            <a:rPr lang="en-US" baseline="0">
              <a:latin typeface="Calibri" panose="020F0502020204030204" pitchFamily="34" charset="0"/>
              <a:ea typeface="Calibri" panose="020F0502020204030204" pitchFamily="34" charset="0"/>
              <a:cs typeface="Calibri" panose="020F0502020204030204" pitchFamily="34" charset="0"/>
            </a:rPr>
            <a:t> T</a:t>
          </a:r>
          <a:r>
            <a:rPr lang="en-US">
              <a:latin typeface="Calibri" panose="020F0502020204030204" pitchFamily="34" charset="0"/>
              <a:ea typeface="Calibri" panose="020F0502020204030204" pitchFamily="34" charset="0"/>
              <a:cs typeface="Calibri" panose="020F0502020204030204" pitchFamily="34" charset="0"/>
            </a:rPr>
            <a:t>hey are effectively buying OpenAI at a $1.3 </a:t>
          </a:r>
          <a:r>
            <a:rPr lang="en-US" i="0">
              <a:latin typeface="Calibri" panose="020F0502020204030204" pitchFamily="34" charset="0"/>
              <a:ea typeface="Calibri" panose="020F0502020204030204" pitchFamily="34" charset="0"/>
              <a:cs typeface="Calibri" panose="020F0502020204030204" pitchFamily="34" charset="0"/>
            </a:rPr>
            <a:t>Trillion </a:t>
          </a:r>
          <a:r>
            <a:rPr lang="en-US">
              <a:latin typeface="Calibri" panose="020F0502020204030204" pitchFamily="34" charset="0"/>
              <a:ea typeface="Calibri" panose="020F0502020204030204" pitchFamily="34" charset="0"/>
              <a:cs typeface="Calibri" panose="020F0502020204030204" pitchFamily="34" charset="0"/>
            </a:rPr>
            <a:t>implied valuation. They are pre-paying for a decade of flawless execution.</a:t>
          </a: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200" b="1">
              <a:latin typeface="Calibri" panose="020F0502020204030204" pitchFamily="34" charset="0"/>
              <a:ea typeface="Calibri" panose="020F0502020204030204" pitchFamily="34" charset="0"/>
              <a:cs typeface="Calibri" panose="020F0502020204030204" pitchFamily="34" charset="0"/>
            </a:rPr>
            <a:t>The Low </a:t>
          </a:r>
          <a:r>
            <a:rPr lang="en-US" sz="1200" b="1" baseline="0">
              <a:latin typeface="Calibri" panose="020F0502020204030204" pitchFamily="34" charset="0"/>
              <a:ea typeface="Calibri" panose="020F0502020204030204" pitchFamily="34" charset="0"/>
              <a:cs typeface="Calibri" panose="020F0502020204030204" pitchFamily="34" charset="0"/>
            </a:rPr>
            <a:t>Float:</a:t>
          </a:r>
        </a:p>
        <a:p>
          <a:r>
            <a:rPr lang="en-US">
              <a:latin typeface="Calibri" panose="020F0502020204030204" pitchFamily="34" charset="0"/>
              <a:ea typeface="Calibri" panose="020F0502020204030204" pitchFamily="34" charset="0"/>
              <a:cs typeface="Calibri" panose="020F0502020204030204" pitchFamily="34" charset="0"/>
            </a:rPr>
            <a:t>This is where the supply comes in. The massive demand and the IPO delusion are the sparks, but the lockup is the gasoline. Because 68-90% of the shares are frozen in the 6 month</a:t>
          </a:r>
          <a:r>
            <a:rPr lang="en-US" baseline="0">
              <a:latin typeface="Calibri" panose="020F0502020204030204" pitchFamily="34" charset="0"/>
              <a:ea typeface="Calibri" panose="020F0502020204030204" pitchFamily="34" charset="0"/>
              <a:cs typeface="Calibri" panose="020F0502020204030204" pitchFamily="34" charset="0"/>
            </a:rPr>
            <a:t> </a:t>
          </a:r>
          <a:r>
            <a:rPr lang="en-US">
              <a:latin typeface="Calibri" panose="020F0502020204030204" pitchFamily="34" charset="0"/>
              <a:ea typeface="Calibri" panose="020F0502020204030204" pitchFamily="34" charset="0"/>
              <a:cs typeface="Calibri" panose="020F0502020204030204" pitchFamily="34" charset="0"/>
            </a:rPr>
            <a:t>lockup, all of that rabid retail demand is being funneled into a tiny, narrow doorway of available shares. That bottleneck is what causes the price to violently explode upward.</a:t>
          </a:r>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17F1-4616-4772-8ACC-FBDA5F5581F6}">
  <dimension ref="A1"/>
  <sheetViews>
    <sheetView showGridLines="0" tabSelected="1" zoomScale="111" zoomScaleNormal="111" workbookViewId="0"/>
  </sheetViews>
  <sheetFormatPr defaultColWidth="2.578125" defaultRowHeight="14.4" x14ac:dyDescent="0.5500000000000000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BBF21-1D7B-401B-ACDC-A8D7DE478FCE}">
  <dimension ref="C3:E40"/>
  <sheetViews>
    <sheetView showGridLines="0" zoomScale="111" zoomScaleNormal="111" workbookViewId="0"/>
  </sheetViews>
  <sheetFormatPr defaultColWidth="2.578125" defaultRowHeight="14.4" x14ac:dyDescent="0.55000000000000004"/>
  <cols>
    <col min="3" max="3" width="74.41796875" bestFit="1" customWidth="1"/>
    <col min="5" max="5" width="22" bestFit="1" customWidth="1"/>
    <col min="11" max="11" width="2.578125" customWidth="1"/>
  </cols>
  <sheetData>
    <row r="3" spans="3:5" x14ac:dyDescent="0.55000000000000004">
      <c r="C3" s="4" t="s">
        <v>103</v>
      </c>
      <c r="D3" s="4"/>
      <c r="E3" s="24"/>
    </row>
    <row r="4" spans="3:5" x14ac:dyDescent="0.55000000000000004">
      <c r="C4" t="s">
        <v>124</v>
      </c>
    </row>
    <row r="5" spans="3:5" x14ac:dyDescent="0.55000000000000004">
      <c r="C5" t="s">
        <v>106</v>
      </c>
    </row>
    <row r="6" spans="3:5" x14ac:dyDescent="0.55000000000000004">
      <c r="C6" s="26" t="s">
        <v>123</v>
      </c>
      <c r="D6" s="25"/>
      <c r="E6" s="25"/>
    </row>
    <row r="8" spans="3:5" x14ac:dyDescent="0.55000000000000004">
      <c r="C8" s="35" t="s">
        <v>109</v>
      </c>
      <c r="D8" s="25"/>
      <c r="E8" s="25"/>
    </row>
    <row r="9" spans="3:5" x14ac:dyDescent="0.55000000000000004">
      <c r="C9" s="1" t="s">
        <v>110</v>
      </c>
      <c r="E9" s="34">
        <f>'Schedule of Investments'!I89*1000</f>
        <v>437436000</v>
      </c>
    </row>
    <row r="10" spans="3:5" x14ac:dyDescent="0.55000000000000004">
      <c r="C10" s="1" t="s">
        <v>108</v>
      </c>
      <c r="E10" s="11">
        <v>24285634</v>
      </c>
    </row>
    <row r="11" spans="3:5" x14ac:dyDescent="0.55000000000000004">
      <c r="C11" s="3" t="s">
        <v>111</v>
      </c>
      <c r="E11" s="28">
        <f>E9/E10</f>
        <v>18.012130134218445</v>
      </c>
    </row>
    <row r="12" spans="3:5" x14ac:dyDescent="0.55000000000000004">
      <c r="C12" s="3"/>
      <c r="E12" s="32"/>
    </row>
    <row r="13" spans="3:5" x14ac:dyDescent="0.55000000000000004">
      <c r="C13" s="35" t="s">
        <v>118</v>
      </c>
      <c r="D13" s="25"/>
      <c r="E13" s="36"/>
    </row>
    <row r="14" spans="3:5" x14ac:dyDescent="0.55000000000000004">
      <c r="C14" s="2" t="s">
        <v>119</v>
      </c>
      <c r="E14" s="14">
        <v>455.5</v>
      </c>
    </row>
    <row r="15" spans="3:5" x14ac:dyDescent="0.55000000000000004">
      <c r="C15" s="2" t="s">
        <v>111</v>
      </c>
      <c r="E15" s="14">
        <f>E11</f>
        <v>18.012130134218445</v>
      </c>
    </row>
    <row r="16" spans="3:5" x14ac:dyDescent="0.55000000000000004">
      <c r="C16" s="1" t="s">
        <v>120</v>
      </c>
      <c r="E16" s="27">
        <f>E14-E15</f>
        <v>437.48786986578153</v>
      </c>
    </row>
    <row r="17" spans="3:5" x14ac:dyDescent="0.55000000000000004">
      <c r="C17" s="7" t="s">
        <v>122</v>
      </c>
      <c r="D17" s="3"/>
      <c r="E17" s="33">
        <f>E14/E15</f>
        <v>25.288513718578258</v>
      </c>
    </row>
    <row r="18" spans="3:5" x14ac:dyDescent="0.55000000000000004">
      <c r="C18" s="7" t="s">
        <v>121</v>
      </c>
      <c r="D18" s="3"/>
      <c r="E18" s="33">
        <f>E16/E15</f>
        <v>24.288513718578258</v>
      </c>
    </row>
    <row r="19" spans="3:5" x14ac:dyDescent="0.55000000000000004">
      <c r="C19" s="3"/>
      <c r="E19" s="33"/>
    </row>
    <row r="20" spans="3:5" x14ac:dyDescent="0.55000000000000004">
      <c r="C20" s="35" t="s">
        <v>117</v>
      </c>
      <c r="D20" s="25"/>
      <c r="E20" s="25"/>
    </row>
    <row r="21" spans="3:5" x14ac:dyDescent="0.55000000000000004">
      <c r="C21" s="1" t="s">
        <v>112</v>
      </c>
      <c r="E21" s="29">
        <v>46100</v>
      </c>
    </row>
    <row r="22" spans="3:5" x14ac:dyDescent="0.55000000000000004">
      <c r="C22" s="1" t="s">
        <v>113</v>
      </c>
      <c r="E22" s="30" t="s">
        <v>114</v>
      </c>
    </row>
    <row r="23" spans="3:5" x14ac:dyDescent="0.55000000000000004">
      <c r="C23" s="1" t="s">
        <v>115</v>
      </c>
      <c r="E23" s="29">
        <v>46284</v>
      </c>
    </row>
    <row r="24" spans="3:5" x14ac:dyDescent="0.55000000000000004">
      <c r="C24" s="1" t="s">
        <v>132</v>
      </c>
      <c r="E24" s="29">
        <f ca="1">TODAY()</f>
        <v>46118</v>
      </c>
    </row>
    <row r="25" spans="3:5" x14ac:dyDescent="0.55000000000000004">
      <c r="C25" s="3" t="s">
        <v>116</v>
      </c>
      <c r="E25" s="31">
        <f ca="1">E23-E24</f>
        <v>166</v>
      </c>
    </row>
    <row r="27" spans="3:5" x14ac:dyDescent="0.55000000000000004">
      <c r="C27" s="43" t="s">
        <v>125</v>
      </c>
      <c r="D27" s="25"/>
      <c r="E27" s="25"/>
    </row>
    <row r="28" spans="3:5" x14ac:dyDescent="0.55000000000000004">
      <c r="C28" s="1" t="s">
        <v>108</v>
      </c>
      <c r="E28" s="11">
        <f>E10</f>
        <v>24285634</v>
      </c>
    </row>
    <row r="29" spans="3:5" x14ac:dyDescent="0.55000000000000004">
      <c r="C29" s="1"/>
      <c r="E29" s="11"/>
    </row>
    <row r="30" spans="3:5" x14ac:dyDescent="0.55000000000000004">
      <c r="C30" s="44" t="s">
        <v>129</v>
      </c>
    </row>
    <row r="31" spans="3:5" x14ac:dyDescent="0.55000000000000004">
      <c r="C31" s="2" t="s">
        <v>127</v>
      </c>
      <c r="E31" s="11">
        <v>2500000</v>
      </c>
    </row>
    <row r="32" spans="3:5" x14ac:dyDescent="0.55000000000000004">
      <c r="C32" s="6" t="s">
        <v>126</v>
      </c>
      <c r="D32" s="3"/>
      <c r="E32" s="40">
        <f>E28-E31</f>
        <v>21785634</v>
      </c>
    </row>
    <row r="33" spans="3:5" x14ac:dyDescent="0.55000000000000004">
      <c r="C33" s="42" t="s">
        <v>130</v>
      </c>
      <c r="D33" s="39"/>
      <c r="E33" s="45">
        <f>E31/E28</f>
        <v>0.10294151678313196</v>
      </c>
    </row>
    <row r="34" spans="3:5" x14ac:dyDescent="0.55000000000000004">
      <c r="C34" s="42" t="s">
        <v>134</v>
      </c>
      <c r="D34" s="3"/>
      <c r="E34" s="45">
        <f>E32/E28</f>
        <v>0.8970584832168681</v>
      </c>
    </row>
    <row r="35" spans="3:5" x14ac:dyDescent="0.55000000000000004">
      <c r="C35" s="42"/>
      <c r="D35" s="3"/>
      <c r="E35" s="41"/>
    </row>
    <row r="36" spans="3:5" x14ac:dyDescent="0.55000000000000004">
      <c r="C36" s="44" t="s">
        <v>128</v>
      </c>
    </row>
    <row r="37" spans="3:5" x14ac:dyDescent="0.55000000000000004">
      <c r="C37" s="2" t="s">
        <v>127</v>
      </c>
      <c r="E37" s="11">
        <v>7800000</v>
      </c>
    </row>
    <row r="38" spans="3:5" x14ac:dyDescent="0.55000000000000004">
      <c r="C38" s="6" t="s">
        <v>126</v>
      </c>
      <c r="D38" s="3"/>
      <c r="E38" s="40">
        <f>E28-E37</f>
        <v>16485634</v>
      </c>
    </row>
    <row r="39" spans="3:5" x14ac:dyDescent="0.55000000000000004">
      <c r="C39" s="42" t="s">
        <v>131</v>
      </c>
      <c r="D39" s="39"/>
      <c r="E39" s="45">
        <f>E37/E28</f>
        <v>0.32117753236337171</v>
      </c>
    </row>
    <row r="40" spans="3:5" x14ac:dyDescent="0.55000000000000004">
      <c r="C40" s="42" t="s">
        <v>133</v>
      </c>
      <c r="D40" s="39"/>
      <c r="E40" s="45">
        <f>E38/E28</f>
        <v>0.67882246763662835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E187-CC24-4BD1-B7BB-0E27EEF300BC}">
  <dimension ref="C3:K89"/>
  <sheetViews>
    <sheetView showGridLines="0" zoomScale="111" zoomScaleNormal="111" workbookViewId="0"/>
  </sheetViews>
  <sheetFormatPr defaultColWidth="2.578125" defaultRowHeight="14.4" x14ac:dyDescent="0.55000000000000004"/>
  <cols>
    <col min="3" max="3" width="73.89453125" bestFit="1" customWidth="1"/>
    <col min="4" max="4" width="2.578125" customWidth="1"/>
    <col min="5" max="5" width="9.734375" bestFit="1" customWidth="1"/>
    <col min="6" max="6" width="2.578125" customWidth="1"/>
    <col min="7" max="7" width="32.5234375" bestFit="1" customWidth="1"/>
    <col min="8" max="8" width="2.578125" customWidth="1"/>
    <col min="9" max="9" width="16.47265625" bestFit="1" customWidth="1"/>
    <col min="10" max="10" width="2.578125" customWidth="1"/>
    <col min="11" max="11" width="22.3671875" bestFit="1" customWidth="1"/>
  </cols>
  <sheetData>
    <row r="3" spans="3:11" x14ac:dyDescent="0.55000000000000004">
      <c r="C3" s="4" t="s">
        <v>103</v>
      </c>
      <c r="D3" s="4"/>
      <c r="E3" s="24"/>
      <c r="F3" s="24"/>
      <c r="G3" s="24"/>
      <c r="H3" s="24"/>
      <c r="I3" s="24"/>
      <c r="J3" s="24"/>
      <c r="K3" s="24"/>
    </row>
    <row r="4" spans="3:11" x14ac:dyDescent="0.55000000000000004">
      <c r="C4" t="s">
        <v>104</v>
      </c>
    </row>
    <row r="5" spans="3:11" x14ac:dyDescent="0.55000000000000004">
      <c r="C5" t="s">
        <v>106</v>
      </c>
    </row>
    <row r="6" spans="3:11" x14ac:dyDescent="0.55000000000000004">
      <c r="C6" s="26" t="s">
        <v>107</v>
      </c>
      <c r="D6" s="25"/>
      <c r="E6" s="25"/>
      <c r="F6" s="25"/>
      <c r="G6" s="25"/>
      <c r="H6" s="25"/>
      <c r="I6" s="25"/>
      <c r="J6" s="25"/>
      <c r="K6" s="25"/>
    </row>
    <row r="8" spans="3:11" x14ac:dyDescent="0.55000000000000004">
      <c r="I8" s="10" t="s">
        <v>2</v>
      </c>
      <c r="J8" s="10"/>
      <c r="K8" s="10" t="s">
        <v>3</v>
      </c>
    </row>
    <row r="9" spans="3:11" ht="14.7" thickBot="1" x14ac:dyDescent="0.6">
      <c r="C9" s="5" t="s">
        <v>0</v>
      </c>
      <c r="E9" s="8" t="s">
        <v>69</v>
      </c>
      <c r="G9" s="8" t="s">
        <v>102</v>
      </c>
      <c r="I9" s="23" t="s">
        <v>105</v>
      </c>
      <c r="K9" s="8" t="s">
        <v>4</v>
      </c>
    </row>
    <row r="10" spans="3:11" x14ac:dyDescent="0.55000000000000004">
      <c r="C10" s="3" t="s">
        <v>5</v>
      </c>
      <c r="D10" s="3"/>
      <c r="G10" s="9"/>
      <c r="H10" s="9"/>
    </row>
    <row r="11" spans="3:11" x14ac:dyDescent="0.55000000000000004">
      <c r="C11" s="6" t="s">
        <v>6</v>
      </c>
      <c r="D11" s="6"/>
      <c r="G11" s="9"/>
      <c r="H11" s="9"/>
    </row>
    <row r="12" spans="3:11" x14ac:dyDescent="0.55000000000000004">
      <c r="C12" s="2" t="s">
        <v>7</v>
      </c>
      <c r="D12" s="2"/>
      <c r="E12" s="12">
        <v>382</v>
      </c>
      <c r="F12" s="12"/>
      <c r="G12" s="37" t="s">
        <v>74</v>
      </c>
      <c r="H12" s="9"/>
      <c r="I12" s="15">
        <v>72569</v>
      </c>
      <c r="J12" s="15"/>
      <c r="K12" s="17">
        <f>I12/$I$89</f>
        <v>0.16589626825409889</v>
      </c>
    </row>
    <row r="13" spans="3:11" x14ac:dyDescent="0.55000000000000004">
      <c r="C13" s="2" t="s">
        <v>8</v>
      </c>
      <c r="D13" s="2"/>
      <c r="E13" s="12" t="s">
        <v>1</v>
      </c>
      <c r="F13" s="12"/>
      <c r="G13" s="37" t="s">
        <v>75</v>
      </c>
      <c r="H13" s="9"/>
      <c r="I13" s="15">
        <v>40999</v>
      </c>
      <c r="J13" s="15"/>
      <c r="K13" s="17">
        <f t="shared" ref="K13:K34" si="0">I13/$I$89</f>
        <v>9.3725710732541448E-2</v>
      </c>
    </row>
    <row r="14" spans="3:11" x14ac:dyDescent="0.55000000000000004">
      <c r="C14" s="2" t="s">
        <v>9</v>
      </c>
      <c r="D14" s="2"/>
      <c r="E14" s="12">
        <v>218</v>
      </c>
      <c r="F14" s="12"/>
      <c r="G14" s="37" t="s">
        <v>76</v>
      </c>
      <c r="H14" s="9"/>
      <c r="I14" s="15">
        <v>30675</v>
      </c>
      <c r="J14" s="15"/>
      <c r="K14" s="17">
        <f t="shared" si="0"/>
        <v>7.0124543933283962E-2</v>
      </c>
    </row>
    <row r="15" spans="3:11" x14ac:dyDescent="0.55000000000000004">
      <c r="C15" s="2" t="s">
        <v>10</v>
      </c>
      <c r="D15" s="2"/>
      <c r="E15" s="12">
        <v>122</v>
      </c>
      <c r="F15" s="12"/>
      <c r="G15" s="37" t="s">
        <v>74</v>
      </c>
      <c r="H15" s="9"/>
      <c r="I15" s="15">
        <v>23256</v>
      </c>
      <c r="J15" s="15"/>
      <c r="K15" s="17">
        <f t="shared" si="0"/>
        <v>5.3164348613282855E-2</v>
      </c>
    </row>
    <row r="16" spans="3:11" x14ac:dyDescent="0.55000000000000004">
      <c r="C16" s="2" t="s">
        <v>11</v>
      </c>
      <c r="D16" s="2"/>
      <c r="E16" s="12">
        <v>139</v>
      </c>
      <c r="F16" s="12"/>
      <c r="G16" s="37" t="s">
        <v>77</v>
      </c>
      <c r="H16" s="9"/>
      <c r="I16" s="15">
        <v>19600</v>
      </c>
      <c r="J16" s="15"/>
      <c r="K16" s="17">
        <f t="shared" si="0"/>
        <v>4.4806554558838321E-2</v>
      </c>
    </row>
    <row r="17" spans="3:11" x14ac:dyDescent="0.55000000000000004">
      <c r="C17" s="2" t="s">
        <v>12</v>
      </c>
      <c r="D17" s="2"/>
      <c r="E17" s="12">
        <v>631</v>
      </c>
      <c r="F17" s="12"/>
      <c r="G17" s="37" t="s">
        <v>78</v>
      </c>
      <c r="H17" s="9"/>
      <c r="I17" s="15">
        <v>13961</v>
      </c>
      <c r="J17" s="15"/>
      <c r="K17" s="17">
        <f t="shared" si="0"/>
        <v>3.1915525928364379E-2</v>
      </c>
    </row>
    <row r="18" spans="3:11" x14ac:dyDescent="0.55000000000000004">
      <c r="C18" s="2" t="s">
        <v>13</v>
      </c>
      <c r="D18" s="2"/>
      <c r="E18" s="12" t="s">
        <v>1</v>
      </c>
      <c r="F18" s="12"/>
      <c r="G18" s="37" t="s">
        <v>79</v>
      </c>
      <c r="H18" s="9"/>
      <c r="I18" s="15">
        <v>12793</v>
      </c>
      <c r="J18" s="15"/>
      <c r="K18" s="17">
        <f t="shared" si="0"/>
        <v>2.924542104444993E-2</v>
      </c>
    </row>
    <row r="19" spans="3:11" x14ac:dyDescent="0.55000000000000004">
      <c r="C19" s="2" t="s">
        <v>8</v>
      </c>
      <c r="D19" s="2"/>
      <c r="E19" s="12" t="s">
        <v>1</v>
      </c>
      <c r="F19" s="12"/>
      <c r="G19" s="37" t="s">
        <v>80</v>
      </c>
      <c r="H19" s="9"/>
      <c r="I19" s="15">
        <v>12507</v>
      </c>
      <c r="J19" s="15"/>
      <c r="K19" s="17">
        <f t="shared" si="0"/>
        <v>2.8591611115683209E-2</v>
      </c>
    </row>
    <row r="20" spans="3:11" x14ac:dyDescent="0.55000000000000004">
      <c r="C20" s="2" t="s">
        <v>14</v>
      </c>
      <c r="D20" s="2"/>
      <c r="E20" s="12">
        <v>30</v>
      </c>
      <c r="F20" s="12"/>
      <c r="G20" s="37" t="s">
        <v>74</v>
      </c>
      <c r="H20" s="9"/>
      <c r="I20" s="15">
        <v>7138</v>
      </c>
      <c r="J20" s="15"/>
      <c r="K20" s="17">
        <f t="shared" si="0"/>
        <v>1.6317815634744284E-2</v>
      </c>
    </row>
    <row r="21" spans="3:11" x14ac:dyDescent="0.55000000000000004">
      <c r="C21" s="2" t="s">
        <v>15</v>
      </c>
      <c r="D21" s="2"/>
      <c r="E21" s="12" t="s">
        <v>1</v>
      </c>
      <c r="F21" s="12"/>
      <c r="G21" s="37" t="s">
        <v>81</v>
      </c>
      <c r="H21" s="9"/>
      <c r="I21" s="15">
        <v>5000</v>
      </c>
      <c r="J21" s="15"/>
      <c r="K21" s="17">
        <f t="shared" si="0"/>
        <v>1.1430243509907735E-2</v>
      </c>
    </row>
    <row r="22" spans="3:11" x14ac:dyDescent="0.55000000000000004">
      <c r="C22" s="2" t="s">
        <v>16</v>
      </c>
      <c r="D22" s="2"/>
      <c r="E22" s="12" t="s">
        <v>1</v>
      </c>
      <c r="F22" s="12"/>
      <c r="G22" s="37" t="s">
        <v>74</v>
      </c>
      <c r="H22" s="9"/>
      <c r="I22" s="15">
        <v>3105</v>
      </c>
      <c r="J22" s="15"/>
      <c r="K22" s="17">
        <f t="shared" si="0"/>
        <v>7.0981812196527034E-3</v>
      </c>
    </row>
    <row r="23" spans="3:11" x14ac:dyDescent="0.55000000000000004">
      <c r="C23" s="2" t="s">
        <v>17</v>
      </c>
      <c r="D23" s="2"/>
      <c r="E23" s="12">
        <v>38</v>
      </c>
      <c r="F23" s="12"/>
      <c r="G23" s="37" t="s">
        <v>76</v>
      </c>
      <c r="H23" s="9"/>
      <c r="I23" s="15">
        <v>2814</v>
      </c>
      <c r="J23" s="15"/>
      <c r="K23" s="17">
        <f t="shared" si="0"/>
        <v>6.4329410473760737E-3</v>
      </c>
    </row>
    <row r="24" spans="3:11" x14ac:dyDescent="0.55000000000000004">
      <c r="C24" s="2" t="s">
        <v>18</v>
      </c>
      <c r="D24" s="2"/>
      <c r="E24" s="12">
        <v>511</v>
      </c>
      <c r="F24" s="12"/>
      <c r="G24" s="37" t="s">
        <v>74</v>
      </c>
      <c r="H24" s="9"/>
      <c r="I24" s="15">
        <v>2494</v>
      </c>
      <c r="J24" s="15"/>
      <c r="K24" s="17">
        <f t="shared" si="0"/>
        <v>5.7014054627419781E-3</v>
      </c>
    </row>
    <row r="25" spans="3:11" x14ac:dyDescent="0.55000000000000004">
      <c r="C25" s="2" t="s">
        <v>19</v>
      </c>
      <c r="D25" s="2"/>
      <c r="E25" s="12">
        <v>45</v>
      </c>
      <c r="F25" s="12"/>
      <c r="G25" s="37" t="s">
        <v>74</v>
      </c>
      <c r="H25" s="9"/>
      <c r="I25" s="15">
        <v>2385</v>
      </c>
      <c r="J25" s="15"/>
      <c r="K25" s="17">
        <f t="shared" si="0"/>
        <v>5.4522261542259897E-3</v>
      </c>
    </row>
    <row r="26" spans="3:11" x14ac:dyDescent="0.55000000000000004">
      <c r="C26" s="2" t="s">
        <v>12</v>
      </c>
      <c r="D26" s="2"/>
      <c r="E26" s="12">
        <v>103</v>
      </c>
      <c r="F26" s="12"/>
      <c r="G26" s="37" t="s">
        <v>82</v>
      </c>
      <c r="H26" s="9"/>
      <c r="I26" s="15">
        <v>2278</v>
      </c>
      <c r="J26" s="15"/>
      <c r="K26" s="17">
        <f t="shared" si="0"/>
        <v>5.2076189431139643E-3</v>
      </c>
    </row>
    <row r="27" spans="3:11" x14ac:dyDescent="0.55000000000000004">
      <c r="C27" s="2" t="s">
        <v>20</v>
      </c>
      <c r="D27" s="2"/>
      <c r="E27" s="12">
        <v>8</v>
      </c>
      <c r="F27" s="12"/>
      <c r="G27" s="37" t="s">
        <v>83</v>
      </c>
      <c r="H27" s="9"/>
      <c r="I27" s="15">
        <v>601</v>
      </c>
      <c r="J27" s="15"/>
      <c r="K27" s="17">
        <f t="shared" si="0"/>
        <v>1.3739152698909098E-3</v>
      </c>
    </row>
    <row r="28" spans="3:11" x14ac:dyDescent="0.55000000000000004">
      <c r="C28" s="2" t="s">
        <v>19</v>
      </c>
      <c r="D28" s="2"/>
      <c r="E28" s="12">
        <v>8</v>
      </c>
      <c r="F28" s="12"/>
      <c r="G28" s="37" t="s">
        <v>84</v>
      </c>
      <c r="H28" s="9"/>
      <c r="I28" s="15">
        <v>417</v>
      </c>
      <c r="J28" s="15"/>
      <c r="K28" s="17">
        <f t="shared" si="0"/>
        <v>9.5328230872630511E-4</v>
      </c>
    </row>
    <row r="29" spans="3:11" x14ac:dyDescent="0.55000000000000004">
      <c r="C29" s="2" t="s">
        <v>21</v>
      </c>
      <c r="D29" s="2"/>
      <c r="E29" s="12">
        <v>261</v>
      </c>
      <c r="F29" s="12"/>
      <c r="G29" s="37" t="s">
        <v>85</v>
      </c>
      <c r="H29" s="9"/>
      <c r="I29" s="15">
        <v>375</v>
      </c>
      <c r="J29" s="15"/>
      <c r="K29" s="17">
        <f t="shared" si="0"/>
        <v>8.5726826324308012E-4</v>
      </c>
    </row>
    <row r="30" spans="3:11" x14ac:dyDescent="0.55000000000000004">
      <c r="C30" s="2" t="s">
        <v>22</v>
      </c>
      <c r="D30" s="2"/>
      <c r="E30" s="12">
        <v>170</v>
      </c>
      <c r="F30" s="12"/>
      <c r="G30" s="37" t="s">
        <v>85</v>
      </c>
      <c r="H30" s="9"/>
      <c r="I30" s="15">
        <v>285</v>
      </c>
      <c r="J30" s="15"/>
      <c r="K30" s="17">
        <f t="shared" si="0"/>
        <v>6.5152388006474091E-4</v>
      </c>
    </row>
    <row r="31" spans="3:11" x14ac:dyDescent="0.55000000000000004">
      <c r="C31" s="2" t="s">
        <v>23</v>
      </c>
      <c r="D31" s="2"/>
      <c r="E31" s="12">
        <v>87</v>
      </c>
      <c r="F31" s="12"/>
      <c r="G31" s="37" t="s">
        <v>86</v>
      </c>
      <c r="H31" s="9"/>
      <c r="I31" s="15">
        <v>125</v>
      </c>
      <c r="J31" s="15"/>
      <c r="K31" s="17">
        <f t="shared" si="0"/>
        <v>2.8575608774769335E-4</v>
      </c>
    </row>
    <row r="32" spans="3:11" x14ac:dyDescent="0.55000000000000004">
      <c r="C32" s="2" t="s">
        <v>24</v>
      </c>
      <c r="D32" s="2"/>
      <c r="E32" s="12">
        <v>47</v>
      </c>
      <c r="F32" s="12"/>
      <c r="G32" s="37" t="s">
        <v>86</v>
      </c>
      <c r="H32" s="9"/>
      <c r="I32" s="15">
        <v>79</v>
      </c>
      <c r="J32" s="15"/>
      <c r="K32" s="17">
        <f t="shared" si="0"/>
        <v>1.805978474565422E-4</v>
      </c>
    </row>
    <row r="33" spans="3:11" x14ac:dyDescent="0.55000000000000004">
      <c r="C33" s="2" t="s">
        <v>25</v>
      </c>
      <c r="D33" s="2"/>
      <c r="E33" s="12">
        <v>5</v>
      </c>
      <c r="F33" s="12"/>
      <c r="G33" s="37" t="s">
        <v>87</v>
      </c>
      <c r="H33" s="9"/>
      <c r="I33" s="15">
        <v>22</v>
      </c>
      <c r="J33" s="15"/>
      <c r="K33" s="17">
        <f t="shared" si="0"/>
        <v>5.0293071443594036E-5</v>
      </c>
    </row>
    <row r="34" spans="3:11" x14ac:dyDescent="0.55000000000000004">
      <c r="C34" s="6" t="s">
        <v>26</v>
      </c>
      <c r="D34" s="6"/>
      <c r="E34" s="13"/>
      <c r="F34" s="13"/>
      <c r="G34" s="38"/>
      <c r="H34" s="10"/>
      <c r="I34" s="21">
        <f>SUM(I12:I33)</f>
        <v>253478</v>
      </c>
      <c r="J34" s="16"/>
      <c r="K34" s="22">
        <f t="shared" si="0"/>
        <v>0.57946305288087863</v>
      </c>
    </row>
    <row r="35" spans="3:11" x14ac:dyDescent="0.55000000000000004">
      <c r="C35" s="6" t="s">
        <v>27</v>
      </c>
      <c r="D35" s="6"/>
      <c r="E35" s="13"/>
      <c r="F35" s="13"/>
      <c r="G35" s="38"/>
      <c r="H35" s="10"/>
      <c r="I35" s="16"/>
      <c r="J35" s="16"/>
      <c r="K35" s="18"/>
    </row>
    <row r="36" spans="3:11" x14ac:dyDescent="0.55000000000000004">
      <c r="C36" s="2" t="s">
        <v>28</v>
      </c>
      <c r="D36" s="2"/>
      <c r="E36" s="12">
        <v>441</v>
      </c>
      <c r="F36" s="12"/>
      <c r="G36" s="37" t="s">
        <v>83</v>
      </c>
      <c r="H36" s="9"/>
      <c r="I36" s="15">
        <v>15000</v>
      </c>
      <c r="J36" s="15"/>
      <c r="K36" s="17">
        <f t="shared" ref="K36:K43" si="1">I36/$I$89</f>
        <v>3.4290730529723208E-2</v>
      </c>
    </row>
    <row r="37" spans="3:11" x14ac:dyDescent="0.55000000000000004">
      <c r="C37" s="2" t="s">
        <v>29</v>
      </c>
      <c r="D37" s="2"/>
      <c r="E37" s="12">
        <v>555</v>
      </c>
      <c r="F37" s="12"/>
      <c r="G37" s="37" t="s">
        <v>88</v>
      </c>
      <c r="H37" s="9"/>
      <c r="I37" s="15">
        <v>10116</v>
      </c>
      <c r="J37" s="15"/>
      <c r="K37" s="17">
        <f t="shared" si="1"/>
        <v>2.3125668669245331E-2</v>
      </c>
    </row>
    <row r="38" spans="3:11" x14ac:dyDescent="0.55000000000000004">
      <c r="C38" s="2" t="s">
        <v>30</v>
      </c>
      <c r="D38" s="2"/>
      <c r="E38" s="12">
        <v>80</v>
      </c>
      <c r="F38" s="12"/>
      <c r="G38" s="37" t="s">
        <v>74</v>
      </c>
      <c r="H38" s="9"/>
      <c r="I38" s="15">
        <v>1021</v>
      </c>
      <c r="J38" s="15"/>
      <c r="K38" s="17">
        <f t="shared" si="1"/>
        <v>2.3340557247231593E-3</v>
      </c>
    </row>
    <row r="39" spans="3:11" x14ac:dyDescent="0.55000000000000004">
      <c r="C39" s="2" t="s">
        <v>31</v>
      </c>
      <c r="D39" s="2"/>
      <c r="E39" s="12">
        <v>73</v>
      </c>
      <c r="F39" s="12"/>
      <c r="G39" s="37" t="s">
        <v>89</v>
      </c>
      <c r="H39" s="9"/>
      <c r="I39" s="15">
        <v>1000</v>
      </c>
      <c r="J39" s="15"/>
      <c r="K39" s="17">
        <f t="shared" si="1"/>
        <v>2.2860487019815468E-3</v>
      </c>
    </row>
    <row r="40" spans="3:11" x14ac:dyDescent="0.55000000000000004">
      <c r="C40" s="2" t="s">
        <v>32</v>
      </c>
      <c r="D40" s="2"/>
      <c r="E40" s="12">
        <v>58</v>
      </c>
      <c r="F40" s="12"/>
      <c r="G40" s="37" t="s">
        <v>88</v>
      </c>
      <c r="H40" s="9"/>
      <c r="I40" s="15">
        <v>588</v>
      </c>
      <c r="J40" s="15"/>
      <c r="K40" s="17">
        <f t="shared" si="1"/>
        <v>1.3441966367651497E-3</v>
      </c>
    </row>
    <row r="41" spans="3:11" x14ac:dyDescent="0.55000000000000004">
      <c r="C41" s="2" t="s">
        <v>33</v>
      </c>
      <c r="D41" s="2"/>
      <c r="E41" s="12">
        <v>12</v>
      </c>
      <c r="F41" s="12"/>
      <c r="G41" s="37" t="s">
        <v>74</v>
      </c>
      <c r="H41" s="9"/>
      <c r="I41" s="15">
        <v>583</v>
      </c>
      <c r="J41" s="15"/>
      <c r="K41" s="17">
        <f t="shared" si="1"/>
        <v>1.3327663932552419E-3</v>
      </c>
    </row>
    <row r="42" spans="3:11" x14ac:dyDescent="0.55000000000000004">
      <c r="C42" s="2" t="s">
        <v>34</v>
      </c>
      <c r="D42" s="2"/>
      <c r="E42" s="12">
        <v>2</v>
      </c>
      <c r="F42" s="12"/>
      <c r="G42" s="37" t="s">
        <v>76</v>
      </c>
      <c r="H42" s="9"/>
      <c r="I42" s="15">
        <v>100</v>
      </c>
      <c r="J42" s="15"/>
      <c r="K42" s="17">
        <f t="shared" si="1"/>
        <v>2.286048701981547E-4</v>
      </c>
    </row>
    <row r="43" spans="3:11" x14ac:dyDescent="0.55000000000000004">
      <c r="C43" s="6" t="s">
        <v>35</v>
      </c>
      <c r="D43" s="6"/>
      <c r="E43" s="13"/>
      <c r="F43" s="13"/>
      <c r="G43" s="38"/>
      <c r="H43" s="10"/>
      <c r="I43" s="21">
        <f>SUM(I36:I42)</f>
        <v>28408</v>
      </c>
      <c r="J43" s="16"/>
      <c r="K43" s="22">
        <f t="shared" si="1"/>
        <v>6.4942071525891792E-2</v>
      </c>
    </row>
    <row r="44" spans="3:11" x14ac:dyDescent="0.55000000000000004">
      <c r="C44" s="6" t="s">
        <v>36</v>
      </c>
      <c r="D44" s="6"/>
      <c r="E44" s="13"/>
      <c r="F44" s="13"/>
      <c r="G44" s="38"/>
      <c r="H44" s="10"/>
      <c r="I44" s="16"/>
      <c r="J44" s="16"/>
      <c r="K44" s="18"/>
    </row>
    <row r="45" spans="3:11" x14ac:dyDescent="0.55000000000000004">
      <c r="C45" s="2" t="s">
        <v>37</v>
      </c>
      <c r="D45" s="2"/>
      <c r="E45" s="12">
        <v>149</v>
      </c>
      <c r="F45" s="12"/>
      <c r="G45" s="37" t="s">
        <v>87</v>
      </c>
      <c r="H45" s="9"/>
      <c r="I45" s="15">
        <v>13365</v>
      </c>
      <c r="J45" s="15"/>
      <c r="K45" s="17">
        <f t="shared" ref="K45:K49" si="2">I45/$I$89</f>
        <v>3.0553040901983377E-2</v>
      </c>
    </row>
    <row r="46" spans="3:11" x14ac:dyDescent="0.55000000000000004">
      <c r="C46" s="2" t="s">
        <v>37</v>
      </c>
      <c r="D46" s="2"/>
      <c r="E46" s="12">
        <v>133</v>
      </c>
      <c r="F46" s="12"/>
      <c r="G46" s="37" t="s">
        <v>90</v>
      </c>
      <c r="H46" s="9"/>
      <c r="I46" s="15">
        <v>12000</v>
      </c>
      <c r="J46" s="15"/>
      <c r="K46" s="17">
        <f t="shared" si="2"/>
        <v>2.7432584423778564E-2</v>
      </c>
    </row>
    <row r="47" spans="3:11" x14ac:dyDescent="0.55000000000000004">
      <c r="C47" s="2" t="s">
        <v>38</v>
      </c>
      <c r="D47" s="2"/>
      <c r="E47" s="12">
        <v>26</v>
      </c>
      <c r="F47" s="12"/>
      <c r="G47" s="37" t="s">
        <v>74</v>
      </c>
      <c r="H47" s="9"/>
      <c r="I47" s="15">
        <v>2376</v>
      </c>
      <c r="J47" s="15"/>
      <c r="K47" s="17">
        <f t="shared" si="2"/>
        <v>5.4316517159081557E-3</v>
      </c>
    </row>
    <row r="48" spans="3:11" x14ac:dyDescent="0.55000000000000004">
      <c r="C48" s="2" t="s">
        <v>39</v>
      </c>
      <c r="D48" s="2"/>
      <c r="E48" s="12">
        <v>10</v>
      </c>
      <c r="F48" s="12"/>
      <c r="G48" s="37" t="s">
        <v>74</v>
      </c>
      <c r="H48" s="9"/>
      <c r="I48" s="15">
        <v>348</v>
      </c>
      <c r="J48" s="15"/>
      <c r="K48" s="17">
        <f t="shared" si="2"/>
        <v>7.955449482895784E-4</v>
      </c>
    </row>
    <row r="49" spans="3:11" x14ac:dyDescent="0.55000000000000004">
      <c r="C49" s="6" t="s">
        <v>40</v>
      </c>
      <c r="D49" s="6"/>
      <c r="E49" s="13"/>
      <c r="F49" s="13"/>
      <c r="G49" s="38"/>
      <c r="H49" s="10"/>
      <c r="I49" s="21">
        <f>SUM(I45:I48)</f>
        <v>28089</v>
      </c>
      <c r="J49" s="16"/>
      <c r="K49" s="22">
        <f t="shared" si="2"/>
        <v>6.4212821989959673E-2</v>
      </c>
    </row>
    <row r="50" spans="3:11" x14ac:dyDescent="0.55000000000000004">
      <c r="C50" s="6" t="s">
        <v>41</v>
      </c>
      <c r="D50" s="6"/>
      <c r="E50" s="13"/>
      <c r="F50" s="13"/>
      <c r="G50" s="38"/>
      <c r="H50" s="10"/>
      <c r="I50" s="16"/>
      <c r="J50" s="16"/>
      <c r="K50" s="18"/>
    </row>
    <row r="51" spans="3:11" x14ac:dyDescent="0.55000000000000004">
      <c r="C51" s="2" t="s">
        <v>42</v>
      </c>
      <c r="D51" s="2"/>
      <c r="E51" s="12">
        <v>43</v>
      </c>
      <c r="F51" s="12"/>
      <c r="G51" s="37" t="s">
        <v>74</v>
      </c>
      <c r="H51" s="9"/>
      <c r="I51" s="15">
        <v>19180</v>
      </c>
      <c r="J51" s="15"/>
      <c r="K51" s="17">
        <f t="shared" ref="K51:K52" si="3">I51/$I$89</f>
        <v>4.3846414104006075E-2</v>
      </c>
    </row>
    <row r="52" spans="3:11" x14ac:dyDescent="0.55000000000000004">
      <c r="C52" s="6" t="s">
        <v>43</v>
      </c>
      <c r="D52" s="6"/>
      <c r="E52" s="13"/>
      <c r="F52" s="13"/>
      <c r="G52" s="38"/>
      <c r="H52" s="10"/>
      <c r="I52" s="21">
        <f>SUM(I51)</f>
        <v>19180</v>
      </c>
      <c r="J52" s="16"/>
      <c r="K52" s="22">
        <f t="shared" si="3"/>
        <v>4.3846414104006075E-2</v>
      </c>
    </row>
    <row r="53" spans="3:11" x14ac:dyDescent="0.55000000000000004">
      <c r="C53" s="6" t="s">
        <v>44</v>
      </c>
      <c r="D53" s="6"/>
      <c r="E53" s="13"/>
      <c r="F53" s="13"/>
      <c r="G53" s="38"/>
      <c r="H53" s="10"/>
      <c r="I53" s="16"/>
      <c r="J53" s="16"/>
      <c r="K53" s="18"/>
    </row>
    <row r="54" spans="3:11" x14ac:dyDescent="0.55000000000000004">
      <c r="C54" s="2" t="s">
        <v>45</v>
      </c>
      <c r="D54" s="2"/>
      <c r="E54" s="12">
        <v>6</v>
      </c>
      <c r="F54" s="12"/>
      <c r="G54" s="37" t="s">
        <v>74</v>
      </c>
      <c r="H54" s="9"/>
      <c r="I54" s="15">
        <v>9599</v>
      </c>
      <c r="J54" s="15"/>
      <c r="K54" s="17">
        <f t="shared" ref="K54:K55" si="4">I54/$I$89</f>
        <v>2.194378149032087E-2</v>
      </c>
    </row>
    <row r="55" spans="3:11" x14ac:dyDescent="0.55000000000000004">
      <c r="C55" s="6" t="s">
        <v>46</v>
      </c>
      <c r="D55" s="6"/>
      <c r="E55" s="13"/>
      <c r="F55" s="13"/>
      <c r="G55" s="38"/>
      <c r="H55" s="10"/>
      <c r="I55" s="21">
        <f>SUM(I54)</f>
        <v>9599</v>
      </c>
      <c r="J55" s="16"/>
      <c r="K55" s="22">
        <f t="shared" si="4"/>
        <v>2.194378149032087E-2</v>
      </c>
    </row>
    <row r="56" spans="3:11" x14ac:dyDescent="0.55000000000000004">
      <c r="C56" s="6" t="s">
        <v>47</v>
      </c>
      <c r="D56" s="6"/>
      <c r="E56" s="13"/>
      <c r="F56" s="13"/>
      <c r="G56" s="38"/>
      <c r="H56" s="10"/>
      <c r="I56" s="16"/>
      <c r="J56" s="16"/>
      <c r="K56" s="18"/>
    </row>
    <row r="57" spans="3:11" x14ac:dyDescent="0.55000000000000004">
      <c r="C57" s="2" t="s">
        <v>48</v>
      </c>
      <c r="D57" s="2"/>
      <c r="E57" s="12">
        <v>680</v>
      </c>
      <c r="F57" s="12"/>
      <c r="G57" s="37" t="s">
        <v>76</v>
      </c>
      <c r="H57" s="9"/>
      <c r="I57" s="15">
        <v>8334</v>
      </c>
      <c r="J57" s="15"/>
      <c r="K57" s="17">
        <f t="shared" ref="K57:K58" si="5">I57/$I$89</f>
        <v>1.9051929882314213E-2</v>
      </c>
    </row>
    <row r="58" spans="3:11" x14ac:dyDescent="0.55000000000000004">
      <c r="C58" s="6" t="s">
        <v>49</v>
      </c>
      <c r="D58" s="6"/>
      <c r="E58" s="13"/>
      <c r="F58" s="13"/>
      <c r="G58" s="38"/>
      <c r="H58" s="10"/>
      <c r="I58" s="21">
        <f>SUM(I57)</f>
        <v>8334</v>
      </c>
      <c r="J58" s="16"/>
      <c r="K58" s="22">
        <f t="shared" si="5"/>
        <v>1.9051929882314213E-2</v>
      </c>
    </row>
    <row r="59" spans="3:11" x14ac:dyDescent="0.55000000000000004">
      <c r="C59" s="6" t="s">
        <v>50</v>
      </c>
      <c r="D59" s="6"/>
      <c r="E59" s="13"/>
      <c r="F59" s="13"/>
      <c r="G59" s="38"/>
      <c r="H59" s="10"/>
      <c r="I59" s="16"/>
      <c r="J59" s="16"/>
      <c r="K59" s="18"/>
    </row>
    <row r="60" spans="3:11" x14ac:dyDescent="0.55000000000000004">
      <c r="C60" s="2" t="s">
        <v>51</v>
      </c>
      <c r="D60" s="2"/>
      <c r="E60" s="12">
        <v>1295</v>
      </c>
      <c r="F60" s="12"/>
      <c r="G60" s="37" t="s">
        <v>91</v>
      </c>
      <c r="H60" s="9"/>
      <c r="I60" s="15">
        <v>5000</v>
      </c>
      <c r="J60" s="15"/>
      <c r="K60" s="17">
        <f t="shared" ref="K60:K65" si="6">I60/$I$89</f>
        <v>1.1430243509907735E-2</v>
      </c>
    </row>
    <row r="61" spans="3:11" x14ac:dyDescent="0.55000000000000004">
      <c r="C61" s="2" t="s">
        <v>52</v>
      </c>
      <c r="D61" s="2"/>
      <c r="E61" s="12">
        <v>10</v>
      </c>
      <c r="F61" s="12"/>
      <c r="G61" s="37" t="s">
        <v>92</v>
      </c>
      <c r="H61" s="9"/>
      <c r="I61" s="15">
        <v>1023</v>
      </c>
      <c r="J61" s="15"/>
      <c r="K61" s="17">
        <f t="shared" si="6"/>
        <v>2.3386278221271227E-3</v>
      </c>
    </row>
    <row r="62" spans="3:11" x14ac:dyDescent="0.55000000000000004">
      <c r="C62" s="2" t="s">
        <v>53</v>
      </c>
      <c r="D62" s="2"/>
      <c r="E62" s="12" t="s">
        <v>1</v>
      </c>
      <c r="F62" s="12"/>
      <c r="G62" s="37" t="s">
        <v>81</v>
      </c>
      <c r="H62" s="9"/>
      <c r="I62" s="15">
        <v>1000</v>
      </c>
      <c r="J62" s="15"/>
      <c r="K62" s="17">
        <f t="shared" si="6"/>
        <v>2.2860487019815468E-3</v>
      </c>
    </row>
    <row r="63" spans="3:11" x14ac:dyDescent="0.55000000000000004">
      <c r="C63" s="2" t="s">
        <v>52</v>
      </c>
      <c r="D63" s="2"/>
      <c r="E63" s="12">
        <v>470</v>
      </c>
      <c r="F63" s="12"/>
      <c r="G63" s="37" t="s">
        <v>83</v>
      </c>
      <c r="H63" s="9"/>
      <c r="I63" s="15">
        <v>391</v>
      </c>
      <c r="J63" s="15"/>
      <c r="K63" s="17">
        <f t="shared" si="6"/>
        <v>8.9384504247478486E-4</v>
      </c>
    </row>
    <row r="64" spans="3:11" x14ac:dyDescent="0.55000000000000004">
      <c r="C64" s="6" t="s">
        <v>54</v>
      </c>
      <c r="D64" s="6"/>
      <c r="E64" s="13"/>
      <c r="F64" s="13"/>
      <c r="G64" s="38"/>
      <c r="H64" s="10"/>
      <c r="I64" s="21">
        <f>SUM(I60:I63)</f>
        <v>7414</v>
      </c>
      <c r="J64" s="16"/>
      <c r="K64" s="22">
        <f t="shared" si="6"/>
        <v>1.6948765076491189E-2</v>
      </c>
    </row>
    <row r="65" spans="3:11" x14ac:dyDescent="0.55000000000000004">
      <c r="C65" s="3" t="s">
        <v>55</v>
      </c>
      <c r="D65" s="3"/>
      <c r="E65" s="13"/>
      <c r="F65" s="13"/>
      <c r="G65" s="38"/>
      <c r="H65" s="10"/>
      <c r="I65" s="21">
        <f>I34+I43+I49+I52+I55+I58+I64</f>
        <v>354502</v>
      </c>
      <c r="J65" s="16"/>
      <c r="K65" s="22">
        <f t="shared" si="6"/>
        <v>0.81040883694986243</v>
      </c>
    </row>
    <row r="66" spans="3:11" x14ac:dyDescent="0.55000000000000004">
      <c r="G66" s="39"/>
    </row>
    <row r="67" spans="3:11" x14ac:dyDescent="0.55000000000000004">
      <c r="C67" s="3" t="s">
        <v>56</v>
      </c>
      <c r="D67" s="3"/>
      <c r="E67" s="12"/>
      <c r="F67" s="12"/>
      <c r="G67" s="37"/>
      <c r="H67" s="9"/>
      <c r="I67" s="15"/>
      <c r="J67" s="15"/>
      <c r="K67" s="17"/>
    </row>
    <row r="68" spans="3:11" x14ac:dyDescent="0.55000000000000004">
      <c r="C68" s="2" t="s">
        <v>57</v>
      </c>
      <c r="D68" s="2"/>
      <c r="E68" s="12" t="s">
        <v>1</v>
      </c>
      <c r="F68" s="12"/>
      <c r="G68" s="37" t="s">
        <v>73</v>
      </c>
      <c r="H68" s="9"/>
      <c r="I68" s="15">
        <v>4497</v>
      </c>
      <c r="J68" s="15"/>
      <c r="K68" s="17">
        <f t="shared" ref="K68:K69" si="7">I68/$I$89</f>
        <v>1.0280361012811016E-2</v>
      </c>
    </row>
    <row r="69" spans="3:11" x14ac:dyDescent="0.55000000000000004">
      <c r="C69" s="3" t="s">
        <v>58</v>
      </c>
      <c r="D69" s="3"/>
      <c r="E69" s="13"/>
      <c r="F69" s="13"/>
      <c r="G69" s="38"/>
      <c r="H69" s="10"/>
      <c r="I69" s="21">
        <f>SUM(I68)</f>
        <v>4497</v>
      </c>
      <c r="J69" s="16"/>
      <c r="K69" s="22">
        <f t="shared" si="7"/>
        <v>1.0280361012811016E-2</v>
      </c>
    </row>
    <row r="70" spans="3:11" x14ac:dyDescent="0.55000000000000004">
      <c r="C70" s="3" t="s">
        <v>59</v>
      </c>
      <c r="D70" s="3"/>
      <c r="E70" s="13"/>
      <c r="F70" s="13"/>
      <c r="G70" s="38"/>
      <c r="H70" s="10"/>
      <c r="I70" s="16"/>
      <c r="J70" s="16"/>
      <c r="K70" s="18"/>
    </row>
    <row r="71" spans="3:11" x14ac:dyDescent="0.55000000000000004">
      <c r="C71" s="6" t="s">
        <v>44</v>
      </c>
      <c r="D71" s="6"/>
      <c r="E71" s="13"/>
      <c r="F71" s="13"/>
      <c r="G71" s="38"/>
      <c r="H71" s="10"/>
      <c r="I71" s="16"/>
      <c r="J71" s="16"/>
      <c r="K71" s="18"/>
    </row>
    <row r="72" spans="3:11" x14ac:dyDescent="0.55000000000000004">
      <c r="C72" s="2" t="s">
        <v>60</v>
      </c>
      <c r="D72" s="2"/>
      <c r="E72" s="12">
        <v>119</v>
      </c>
      <c r="F72" s="12"/>
      <c r="G72" s="37" t="s">
        <v>72</v>
      </c>
      <c r="H72" s="9"/>
      <c r="I72" s="15">
        <v>12694</v>
      </c>
      <c r="J72" s="15"/>
      <c r="K72" s="17">
        <f t="shared" ref="K72:K73" si="8">I72/$I$89</f>
        <v>2.9019102222953758E-2</v>
      </c>
    </row>
    <row r="73" spans="3:11" x14ac:dyDescent="0.55000000000000004">
      <c r="C73" s="3" t="s">
        <v>61</v>
      </c>
      <c r="D73" s="3"/>
      <c r="E73" s="13"/>
      <c r="F73" s="13"/>
      <c r="G73" s="38"/>
      <c r="H73" s="10"/>
      <c r="I73" s="21">
        <f>SUM(I72)</f>
        <v>12694</v>
      </c>
      <c r="J73" s="16"/>
      <c r="K73" s="22">
        <f t="shared" si="8"/>
        <v>2.9019102222953758E-2</v>
      </c>
    </row>
    <row r="74" spans="3:11" x14ac:dyDescent="0.55000000000000004">
      <c r="C74" s="7" t="s">
        <v>62</v>
      </c>
      <c r="D74" s="7"/>
      <c r="E74" s="13"/>
      <c r="F74" s="13"/>
      <c r="G74" s="38"/>
      <c r="H74" s="10"/>
      <c r="I74" s="16"/>
      <c r="J74" s="16"/>
      <c r="K74" s="18"/>
    </row>
    <row r="75" spans="3:11" x14ac:dyDescent="0.55000000000000004">
      <c r="C75" s="2" t="s">
        <v>93</v>
      </c>
      <c r="D75" s="2"/>
      <c r="E75" s="12">
        <v>12500</v>
      </c>
      <c r="F75" s="12"/>
      <c r="G75" s="37" t="s">
        <v>70</v>
      </c>
      <c r="H75" s="9"/>
      <c r="I75" s="15">
        <v>12451</v>
      </c>
      <c r="J75" s="15"/>
      <c r="K75" s="17">
        <f t="shared" ref="K75:K83" si="9">I75/$I$89</f>
        <v>2.8463592388372243E-2</v>
      </c>
    </row>
    <row r="76" spans="3:11" x14ac:dyDescent="0.55000000000000004">
      <c r="C76" s="2" t="s">
        <v>94</v>
      </c>
      <c r="D76" s="2"/>
      <c r="E76" s="12">
        <v>10000</v>
      </c>
      <c r="F76" s="12"/>
      <c r="G76" s="37" t="s">
        <v>70</v>
      </c>
      <c r="H76" s="9"/>
      <c r="I76" s="15">
        <v>10041</v>
      </c>
      <c r="J76" s="15"/>
      <c r="K76" s="17">
        <f t="shared" si="9"/>
        <v>2.2954215016596714E-2</v>
      </c>
    </row>
    <row r="77" spans="3:11" x14ac:dyDescent="0.55000000000000004">
      <c r="C77" s="2" t="s">
        <v>95</v>
      </c>
      <c r="D77" s="2"/>
      <c r="E77" s="12">
        <v>10000</v>
      </c>
      <c r="F77" s="12"/>
      <c r="G77" s="37" t="s">
        <v>70</v>
      </c>
      <c r="H77" s="9"/>
      <c r="I77" s="15">
        <v>9989</v>
      </c>
      <c r="J77" s="15"/>
      <c r="K77" s="17">
        <f t="shared" si="9"/>
        <v>2.2835340484093674E-2</v>
      </c>
    </row>
    <row r="78" spans="3:11" x14ac:dyDescent="0.55000000000000004">
      <c r="C78" s="2" t="s">
        <v>96</v>
      </c>
      <c r="D78" s="2"/>
      <c r="E78" s="12">
        <v>9000</v>
      </c>
      <c r="F78" s="12"/>
      <c r="G78" s="37" t="s">
        <v>70</v>
      </c>
      <c r="H78" s="9"/>
      <c r="I78" s="15">
        <v>9193</v>
      </c>
      <c r="J78" s="15"/>
      <c r="K78" s="17">
        <f t="shared" si="9"/>
        <v>2.1015645717316362E-2</v>
      </c>
    </row>
    <row r="79" spans="3:11" x14ac:dyDescent="0.55000000000000004">
      <c r="C79" s="2" t="s">
        <v>97</v>
      </c>
      <c r="D79" s="2"/>
      <c r="E79" s="12">
        <v>7000</v>
      </c>
      <c r="F79" s="12"/>
      <c r="G79" s="37" t="s">
        <v>70</v>
      </c>
      <c r="H79" s="9"/>
      <c r="I79" s="15">
        <v>7043</v>
      </c>
      <c r="J79" s="15"/>
      <c r="K79" s="17">
        <f t="shared" si="9"/>
        <v>1.6100641008056037E-2</v>
      </c>
    </row>
    <row r="80" spans="3:11" x14ac:dyDescent="0.55000000000000004">
      <c r="C80" s="2" t="s">
        <v>98</v>
      </c>
      <c r="D80" s="2"/>
      <c r="E80" s="12">
        <v>7000</v>
      </c>
      <c r="F80" s="12"/>
      <c r="G80" s="37" t="s">
        <v>70</v>
      </c>
      <c r="H80" s="9"/>
      <c r="I80" s="15">
        <v>7007</v>
      </c>
      <c r="J80" s="15"/>
      <c r="K80" s="17">
        <f t="shared" si="9"/>
        <v>1.6018343254784701E-2</v>
      </c>
    </row>
    <row r="81" spans="3:11" x14ac:dyDescent="0.55000000000000004">
      <c r="C81" s="2" t="s">
        <v>99</v>
      </c>
      <c r="D81" s="2"/>
      <c r="E81" s="12">
        <v>6000</v>
      </c>
      <c r="F81" s="12"/>
      <c r="G81" s="37" t="s">
        <v>70</v>
      </c>
      <c r="H81" s="9"/>
      <c r="I81" s="15">
        <v>5718</v>
      </c>
      <c r="J81" s="15"/>
      <c r="K81" s="17">
        <f t="shared" si="9"/>
        <v>1.3071626477930486E-2</v>
      </c>
    </row>
    <row r="82" spans="3:11" x14ac:dyDescent="0.55000000000000004">
      <c r="C82" s="2" t="s">
        <v>100</v>
      </c>
      <c r="D82" s="2"/>
      <c r="E82" s="12">
        <v>5000</v>
      </c>
      <c r="F82" s="12"/>
      <c r="G82" s="37" t="s">
        <v>70</v>
      </c>
      <c r="H82" s="9"/>
      <c r="I82" s="15">
        <v>4998</v>
      </c>
      <c r="J82" s="15"/>
      <c r="K82" s="17">
        <f t="shared" si="9"/>
        <v>1.1425671412503773E-2</v>
      </c>
    </row>
    <row r="83" spans="3:11" x14ac:dyDescent="0.55000000000000004">
      <c r="C83" s="7" t="s">
        <v>63</v>
      </c>
      <c r="D83" s="7"/>
      <c r="E83" s="13"/>
      <c r="F83" s="13"/>
      <c r="G83" s="38"/>
      <c r="H83" s="10"/>
      <c r="I83" s="21">
        <f>SUM(I75:I82)</f>
        <v>66440</v>
      </c>
      <c r="J83" s="16"/>
      <c r="K83" s="22">
        <f t="shared" si="9"/>
        <v>0.15188507575965399</v>
      </c>
    </row>
    <row r="84" spans="3:11" x14ac:dyDescent="0.55000000000000004">
      <c r="C84" s="7" t="s">
        <v>64</v>
      </c>
      <c r="D84" s="7"/>
      <c r="E84" s="13"/>
      <c r="F84" s="13"/>
      <c r="G84" s="38"/>
      <c r="H84" s="10"/>
      <c r="I84" s="16"/>
      <c r="J84" s="16"/>
      <c r="K84" s="18"/>
    </row>
    <row r="85" spans="3:11" x14ac:dyDescent="0.55000000000000004">
      <c r="C85" s="2" t="s">
        <v>101</v>
      </c>
      <c r="D85" s="2"/>
      <c r="E85" s="12">
        <v>26584</v>
      </c>
      <c r="F85" s="12"/>
      <c r="G85" s="37" t="s">
        <v>71</v>
      </c>
      <c r="H85" s="9"/>
      <c r="I85" s="15">
        <v>26584</v>
      </c>
      <c r="J85" s="15"/>
      <c r="K85" s="17">
        <f t="shared" ref="K85:K89" si="10">I85/$I$89</f>
        <v>6.0772318693477448E-2</v>
      </c>
    </row>
    <row r="86" spans="3:11" x14ac:dyDescent="0.55000000000000004">
      <c r="C86" s="7" t="s">
        <v>65</v>
      </c>
      <c r="D86" s="7"/>
      <c r="E86" s="3"/>
      <c r="F86" s="3"/>
      <c r="G86" s="10"/>
      <c r="H86" s="10"/>
      <c r="I86" s="21">
        <f>SUM(I85)</f>
        <v>26584</v>
      </c>
      <c r="J86" s="16"/>
      <c r="K86" s="22">
        <f t="shared" si="10"/>
        <v>6.0772318693477448E-2</v>
      </c>
    </row>
    <row r="87" spans="3:11" x14ac:dyDescent="0.55000000000000004">
      <c r="C87" s="3" t="s">
        <v>66</v>
      </c>
      <c r="D87" s="3"/>
      <c r="E87" s="3"/>
      <c r="F87" s="3"/>
      <c r="G87" s="10"/>
      <c r="H87" s="10"/>
      <c r="I87" s="16">
        <f>I65+I69+I73+I83+I86</f>
        <v>464717</v>
      </c>
      <c r="J87" s="16"/>
      <c r="K87" s="18">
        <f t="shared" si="10"/>
        <v>1.0623656946387585</v>
      </c>
    </row>
    <row r="88" spans="3:11" x14ac:dyDescent="0.55000000000000004">
      <c r="C88" s="3" t="s">
        <v>67</v>
      </c>
      <c r="D88" s="3"/>
      <c r="E88" s="3"/>
      <c r="F88" s="3"/>
      <c r="G88" s="10"/>
      <c r="H88" s="10"/>
      <c r="I88" s="16">
        <v>-27281</v>
      </c>
      <c r="J88" s="16"/>
      <c r="K88" s="18">
        <f t="shared" si="10"/>
        <v>-6.2365694638758587E-2</v>
      </c>
    </row>
    <row r="89" spans="3:11" ht="14.7" thickBot="1" x14ac:dyDescent="0.6">
      <c r="C89" s="3" t="s">
        <v>68</v>
      </c>
      <c r="D89" s="3"/>
      <c r="E89" s="3"/>
      <c r="F89" s="3"/>
      <c r="G89" s="10"/>
      <c r="H89" s="10"/>
      <c r="I89" s="19">
        <f>SUM(I87:I88)</f>
        <v>437436</v>
      </c>
      <c r="J89" s="16"/>
      <c r="K89" s="20">
        <f t="shared" si="1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Schedule of Fund Valuation</vt:lpstr>
      <vt:lpstr>Schedule of Investments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E Pilcher</dc:creator>
  <cp:lastModifiedBy>Joshua E Pilcher</cp:lastModifiedBy>
  <dcterms:created xsi:type="dcterms:W3CDTF">2026-03-25T17:03:56Z</dcterms:created>
  <dcterms:modified xsi:type="dcterms:W3CDTF">2026-04-06T22:40:31Z</dcterms:modified>
</cp:coreProperties>
</file>