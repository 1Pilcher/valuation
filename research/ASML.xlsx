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valuation\research\"/>
    </mc:Choice>
  </mc:AlternateContent>
  <xr:revisionPtr revIDLastSave="0" documentId="13_ncr:1_{B62760F3-4614-41DD-8EF2-2F3911495C54}" xr6:coauthVersionLast="47" xr6:coauthVersionMax="47" xr10:uidLastSave="{00000000-0000-0000-0000-000000000000}"/>
  <bookViews>
    <workbookView xWindow="-96" yWindow="-96" windowWidth="23232" windowHeight="13872" activeTab="1" xr2:uid="{DD10A83A-2A5B-40DC-BABC-557A4958E4AF}"/>
  </bookViews>
  <sheets>
    <sheet name="ASML" sheetId="1" r:id="rId1"/>
    <sheet name="Statements of Operations" sheetId="2" r:id="rId2"/>
    <sheet name="Comprehensive Income" sheetId="3" r:id="rId3"/>
    <sheet name="Balance Sheets" sheetId="4" r:id="rId4"/>
    <sheet name="Shareholder Equity" sheetId="5" r:id="rId5"/>
    <sheet name="Cash Flow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S10" i="1" s="1"/>
  <c r="T10" i="1" s="1"/>
  <c r="U10" i="1" s="1"/>
  <c r="V10" i="1" s="1"/>
  <c r="L23" i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L6" i="1"/>
  <c r="L7" i="1" s="1"/>
  <c r="L5" i="1"/>
  <c r="M5" i="1" s="1"/>
  <c r="L15" i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L14" i="1"/>
  <c r="L17" i="1" s="1"/>
  <c r="L10" i="1"/>
  <c r="M10" i="1" s="1"/>
  <c r="N10" i="1" s="1"/>
  <c r="O10" i="1" s="1"/>
  <c r="P10" i="1" s="1"/>
  <c r="Q10" i="1" s="1"/>
  <c r="L9" i="1"/>
  <c r="M43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8" i="1"/>
  <c r="F38" i="1"/>
  <c r="G38" i="1"/>
  <c r="H38" i="1"/>
  <c r="I38" i="1"/>
  <c r="J38" i="1"/>
  <c r="K38" i="1"/>
  <c r="M38" i="1" s="1"/>
  <c r="E39" i="1"/>
  <c r="F39" i="1"/>
  <c r="G39" i="1"/>
  <c r="H39" i="1"/>
  <c r="I39" i="1"/>
  <c r="J39" i="1"/>
  <c r="K39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I43" i="1"/>
  <c r="E46" i="1"/>
  <c r="F46" i="1"/>
  <c r="G46" i="1"/>
  <c r="H46" i="1"/>
  <c r="I46" i="1"/>
  <c r="J46" i="1"/>
  <c r="K46" i="1"/>
  <c r="E48" i="1"/>
  <c r="F48" i="1"/>
  <c r="G48" i="1"/>
  <c r="H48" i="1"/>
  <c r="I48" i="1"/>
  <c r="J48" i="1"/>
  <c r="K48" i="1"/>
  <c r="E50" i="1"/>
  <c r="F50" i="1"/>
  <c r="G50" i="1"/>
  <c r="H50" i="1"/>
  <c r="I50" i="1"/>
  <c r="J50" i="1"/>
  <c r="K50" i="1"/>
  <c r="D46" i="1"/>
  <c r="D48" i="1"/>
  <c r="D42" i="1"/>
  <c r="D43" i="1"/>
  <c r="L43" i="1" s="1"/>
  <c r="D41" i="1"/>
  <c r="D39" i="1"/>
  <c r="D38" i="1"/>
  <c r="D36" i="1"/>
  <c r="D35" i="1"/>
  <c r="D28" i="1"/>
  <c r="E28" i="1"/>
  <c r="F28" i="1"/>
  <c r="G28" i="1"/>
  <c r="H28" i="1"/>
  <c r="I28" i="1"/>
  <c r="J28" i="1"/>
  <c r="K28" i="1"/>
  <c r="D29" i="1"/>
  <c r="E29" i="1"/>
  <c r="F29" i="1"/>
  <c r="G29" i="1"/>
  <c r="H29" i="1"/>
  <c r="I29" i="1"/>
  <c r="J29" i="1"/>
  <c r="K29" i="1"/>
  <c r="C29" i="1"/>
  <c r="C28" i="1"/>
  <c r="E17" i="1"/>
  <c r="D17" i="1"/>
  <c r="C17" i="1"/>
  <c r="E11" i="1"/>
  <c r="D11" i="1"/>
  <c r="C11" i="1"/>
  <c r="E7" i="1"/>
  <c r="D7" i="1"/>
  <c r="C7" i="1"/>
  <c r="G17" i="1"/>
  <c r="H17" i="1"/>
  <c r="I17" i="1"/>
  <c r="J17" i="1"/>
  <c r="K17" i="1"/>
  <c r="F17" i="1"/>
  <c r="H11" i="1"/>
  <c r="G11" i="1"/>
  <c r="F11" i="1"/>
  <c r="H7" i="1"/>
  <c r="G7" i="1"/>
  <c r="G37" i="1" s="1"/>
  <c r="F7" i="1"/>
  <c r="F37" i="1" s="1"/>
  <c r="K7" i="1"/>
  <c r="K11" i="1"/>
  <c r="J11" i="1"/>
  <c r="J40" i="1" s="1"/>
  <c r="J7" i="1"/>
  <c r="I11" i="1"/>
  <c r="I40" i="1" s="1"/>
  <c r="I7" i="1"/>
  <c r="M48" i="1" l="1"/>
  <c r="I37" i="1"/>
  <c r="D37" i="1"/>
  <c r="K37" i="1"/>
  <c r="H40" i="1"/>
  <c r="F44" i="1"/>
  <c r="M36" i="1"/>
  <c r="E37" i="1"/>
  <c r="L37" i="1" s="1"/>
  <c r="L48" i="1"/>
  <c r="E40" i="1"/>
  <c r="M41" i="1"/>
  <c r="M28" i="1"/>
  <c r="H37" i="1"/>
  <c r="F40" i="1"/>
  <c r="D44" i="1"/>
  <c r="G40" i="1"/>
  <c r="E44" i="1"/>
  <c r="L11" i="1"/>
  <c r="L28" i="1"/>
  <c r="M42" i="1"/>
  <c r="L36" i="1"/>
  <c r="L38" i="1"/>
  <c r="M39" i="1"/>
  <c r="L41" i="1"/>
  <c r="L39" i="1"/>
  <c r="M35" i="1"/>
  <c r="G44" i="1"/>
  <c r="D40" i="1"/>
  <c r="K40" i="1"/>
  <c r="M6" i="1"/>
  <c r="N6" i="1" s="1"/>
  <c r="J37" i="1"/>
  <c r="M37" i="1" s="1"/>
  <c r="K44" i="1"/>
  <c r="M29" i="1"/>
  <c r="M50" i="1"/>
  <c r="M46" i="1"/>
  <c r="I44" i="1"/>
  <c r="N5" i="1"/>
  <c r="O5" i="1" s="1"/>
  <c r="P5" i="1" s="1"/>
  <c r="Q5" i="1" s="1"/>
  <c r="R5" i="1" s="1"/>
  <c r="M7" i="1"/>
  <c r="M40" i="1"/>
  <c r="L29" i="1"/>
  <c r="M14" i="1"/>
  <c r="M9" i="1"/>
  <c r="N9" i="1" s="1"/>
  <c r="N11" i="1" s="1"/>
  <c r="L35" i="1"/>
  <c r="L50" i="1"/>
  <c r="L46" i="1"/>
  <c r="L42" i="1"/>
  <c r="O9" i="1"/>
  <c r="O6" i="1"/>
  <c r="P6" i="1" s="1"/>
  <c r="Q6" i="1" s="1"/>
  <c r="R6" i="1" s="1"/>
  <c r="S6" i="1" s="1"/>
  <c r="T6" i="1" s="1"/>
  <c r="U6" i="1" s="1"/>
  <c r="V6" i="1" s="1"/>
  <c r="L12" i="1"/>
  <c r="L18" i="1" s="1"/>
  <c r="L20" i="1" s="1"/>
  <c r="L21" i="1" s="1"/>
  <c r="L22" i="1" s="1"/>
  <c r="L24" i="1" s="1"/>
  <c r="J44" i="1"/>
  <c r="H44" i="1"/>
  <c r="L44" i="1" s="1"/>
  <c r="D12" i="1"/>
  <c r="E12" i="1"/>
  <c r="C12" i="1"/>
  <c r="H12" i="1"/>
  <c r="G12" i="1"/>
  <c r="F12" i="1"/>
  <c r="I12" i="1"/>
  <c r="K12" i="1"/>
  <c r="J12" i="1"/>
  <c r="S5" i="1" l="1"/>
  <c r="R7" i="1"/>
  <c r="L40" i="1"/>
  <c r="Q7" i="1"/>
  <c r="M44" i="1"/>
  <c r="N7" i="1"/>
  <c r="N12" i="1" s="1"/>
  <c r="P7" i="1"/>
  <c r="O7" i="1"/>
  <c r="M17" i="1"/>
  <c r="N14" i="1"/>
  <c r="M11" i="1"/>
  <c r="M12" i="1" s="1"/>
  <c r="O11" i="1"/>
  <c r="P9" i="1"/>
  <c r="J18" i="1"/>
  <c r="J30" i="1"/>
  <c r="K18" i="1"/>
  <c r="K30" i="1"/>
  <c r="I18" i="1"/>
  <c r="I30" i="1"/>
  <c r="F18" i="1"/>
  <c r="F30" i="1"/>
  <c r="G18" i="1"/>
  <c r="G30" i="1"/>
  <c r="H18" i="1"/>
  <c r="H30" i="1"/>
  <c r="C18" i="1"/>
  <c r="C30" i="1"/>
  <c r="E18" i="1"/>
  <c r="E30" i="1"/>
  <c r="D18" i="1"/>
  <c r="D45" i="1" s="1"/>
  <c r="D30" i="1"/>
  <c r="T5" i="1" l="1"/>
  <c r="S7" i="1"/>
  <c r="O12" i="1"/>
  <c r="M18" i="1"/>
  <c r="M20" i="1" s="1"/>
  <c r="M21" i="1" s="1"/>
  <c r="M22" i="1" s="1"/>
  <c r="M24" i="1" s="1"/>
  <c r="E45" i="1"/>
  <c r="H45" i="1"/>
  <c r="O14" i="1"/>
  <c r="N17" i="1"/>
  <c r="N18" i="1" s="1"/>
  <c r="N20" i="1" s="1"/>
  <c r="N21" i="1" s="1"/>
  <c r="N22" i="1" s="1"/>
  <c r="N24" i="1" s="1"/>
  <c r="Q9" i="1"/>
  <c r="P11" i="1"/>
  <c r="P12" i="1" s="1"/>
  <c r="L30" i="1"/>
  <c r="M30" i="1"/>
  <c r="K45" i="1"/>
  <c r="I45" i="1"/>
  <c r="J45" i="1"/>
  <c r="F45" i="1"/>
  <c r="G45" i="1"/>
  <c r="E20" i="1"/>
  <c r="E31" i="1"/>
  <c r="C20" i="1"/>
  <c r="C22" i="1" s="1"/>
  <c r="C24" i="1" s="1"/>
  <c r="C32" i="1" s="1"/>
  <c r="C31" i="1"/>
  <c r="H20" i="1"/>
  <c r="H22" i="1" s="1"/>
  <c r="H24" i="1" s="1"/>
  <c r="H32" i="1" s="1"/>
  <c r="H31" i="1"/>
  <c r="G20" i="1"/>
  <c r="G31" i="1"/>
  <c r="F20" i="1"/>
  <c r="F31" i="1"/>
  <c r="I20" i="1"/>
  <c r="I31" i="1"/>
  <c r="K20" i="1"/>
  <c r="K22" i="1" s="1"/>
  <c r="K24" i="1" s="1"/>
  <c r="K32" i="1" s="1"/>
  <c r="K31" i="1"/>
  <c r="D20" i="1"/>
  <c r="D31" i="1"/>
  <c r="J20" i="1"/>
  <c r="J31" i="1"/>
  <c r="Q11" i="1" l="1"/>
  <c r="Q12" i="1" s="1"/>
  <c r="R9" i="1"/>
  <c r="U5" i="1"/>
  <c r="T7" i="1"/>
  <c r="D22" i="1"/>
  <c r="D47" i="1"/>
  <c r="E22" i="1"/>
  <c r="E47" i="1"/>
  <c r="P14" i="1"/>
  <c r="O17" i="1"/>
  <c r="O18" i="1" s="1"/>
  <c r="O20" i="1" s="1"/>
  <c r="O21" i="1" s="1"/>
  <c r="O22" i="1" s="1"/>
  <c r="O24" i="1" s="1"/>
  <c r="L31" i="1"/>
  <c r="M31" i="1"/>
  <c r="L45" i="1"/>
  <c r="M45" i="1"/>
  <c r="J22" i="1"/>
  <c r="K47" i="1"/>
  <c r="I22" i="1"/>
  <c r="J47" i="1"/>
  <c r="I47" i="1"/>
  <c r="G22" i="1"/>
  <c r="H47" i="1"/>
  <c r="F22" i="1"/>
  <c r="F47" i="1"/>
  <c r="G47" i="1"/>
  <c r="V5" i="1" l="1"/>
  <c r="V7" i="1" s="1"/>
  <c r="U7" i="1"/>
  <c r="S9" i="1"/>
  <c r="R11" i="1"/>
  <c r="R12" i="1" s="1"/>
  <c r="D24" i="1"/>
  <c r="D49" i="1"/>
  <c r="E24" i="1"/>
  <c r="E49" i="1"/>
  <c r="P17" i="1"/>
  <c r="P18" i="1" s="1"/>
  <c r="P20" i="1" s="1"/>
  <c r="P21" i="1" s="1"/>
  <c r="P22" i="1" s="1"/>
  <c r="P24" i="1" s="1"/>
  <c r="Q14" i="1"/>
  <c r="M47" i="1"/>
  <c r="L47" i="1"/>
  <c r="J24" i="1"/>
  <c r="K49" i="1"/>
  <c r="I24" i="1"/>
  <c r="I49" i="1"/>
  <c r="J49" i="1"/>
  <c r="G24" i="1"/>
  <c r="H49" i="1"/>
  <c r="F24" i="1"/>
  <c r="F49" i="1"/>
  <c r="G49" i="1"/>
  <c r="Q17" i="1" l="1"/>
  <c r="Q18" i="1" s="1"/>
  <c r="Q20" i="1" s="1"/>
  <c r="R14" i="1"/>
  <c r="T9" i="1"/>
  <c r="S11" i="1"/>
  <c r="S12" i="1" s="1"/>
  <c r="E32" i="1"/>
  <c r="E51" i="1"/>
  <c r="D32" i="1"/>
  <c r="D51" i="1"/>
  <c r="Q21" i="1"/>
  <c r="Q22" i="1" s="1"/>
  <c r="Q24" i="1" s="1"/>
  <c r="L49" i="1"/>
  <c r="M49" i="1"/>
  <c r="J32" i="1"/>
  <c r="K51" i="1"/>
  <c r="I32" i="1"/>
  <c r="I51" i="1"/>
  <c r="J51" i="1"/>
  <c r="G32" i="1"/>
  <c r="H51" i="1"/>
  <c r="F32" i="1"/>
  <c r="F51" i="1"/>
  <c r="G51" i="1"/>
  <c r="S14" i="1" l="1"/>
  <c r="R17" i="1"/>
  <c r="R18" i="1" s="1"/>
  <c r="R20" i="1" s="1"/>
  <c r="R21" i="1" s="1"/>
  <c r="R22" i="1" s="1"/>
  <c r="R24" i="1" s="1"/>
  <c r="U9" i="1"/>
  <c r="T11" i="1"/>
  <c r="T12" i="1" s="1"/>
  <c r="M32" i="1"/>
  <c r="L32" i="1"/>
  <c r="M51" i="1"/>
  <c r="L51" i="1"/>
  <c r="V9" i="1" l="1"/>
  <c r="V11" i="1" s="1"/>
  <c r="V12" i="1" s="1"/>
  <c r="U11" i="1"/>
  <c r="U12" i="1" s="1"/>
  <c r="T14" i="1"/>
  <c r="S17" i="1"/>
  <c r="S18" i="1" s="1"/>
  <c r="S20" i="1" s="1"/>
  <c r="S21" i="1" s="1"/>
  <c r="S22" i="1" s="1"/>
  <c r="S24" i="1" s="1"/>
  <c r="U14" i="1" l="1"/>
  <c r="T17" i="1"/>
  <c r="T18" i="1" s="1"/>
  <c r="T20" i="1" s="1"/>
  <c r="T21" i="1" s="1"/>
  <c r="T22" i="1" s="1"/>
  <c r="T24" i="1" s="1"/>
  <c r="U17" i="1" l="1"/>
  <c r="U18" i="1" s="1"/>
  <c r="U20" i="1" s="1"/>
  <c r="U21" i="1" s="1"/>
  <c r="U22" i="1" s="1"/>
  <c r="U24" i="1" s="1"/>
  <c r="V14" i="1"/>
  <c r="V17" i="1" s="1"/>
  <c r="V18" i="1" s="1"/>
  <c r="V20" i="1" s="1"/>
  <c r="V21" i="1" l="1"/>
  <c r="V22" i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GO24" i="1" s="1"/>
  <c r="GP24" i="1" s="1"/>
  <c r="GQ24" i="1" s="1"/>
  <c r="GR24" i="1" s="1"/>
  <c r="GS24" i="1" s="1"/>
  <c r="GT24" i="1" s="1"/>
  <c r="GU24" i="1" s="1"/>
  <c r="GV24" i="1" s="1"/>
  <c r="GW24" i="1" s="1"/>
  <c r="GX24" i="1" s="1"/>
  <c r="GY24" i="1" s="1"/>
  <c r="GZ24" i="1" s="1"/>
  <c r="HA24" i="1" s="1"/>
  <c r="HB24" i="1" s="1"/>
  <c r="HC24" i="1" s="1"/>
  <c r="HD24" i="1" s="1"/>
  <c r="HE24" i="1" s="1"/>
  <c r="HF24" i="1" s="1"/>
  <c r="HG24" i="1" s="1"/>
  <c r="HH24" i="1" s="1"/>
  <c r="HI24" i="1" s="1"/>
  <c r="HJ24" i="1" s="1"/>
  <c r="HK24" i="1" s="1"/>
  <c r="HL24" i="1" s="1"/>
  <c r="HM24" i="1" s="1"/>
  <c r="HN24" i="1" s="1"/>
  <c r="HO24" i="1" s="1"/>
  <c r="HP24" i="1" s="1"/>
  <c r="HQ24" i="1" s="1"/>
  <c r="HR24" i="1" s="1"/>
  <c r="HS24" i="1" s="1"/>
  <c r="HT24" i="1" s="1"/>
  <c r="HU24" i="1" s="1"/>
  <c r="HV24" i="1" s="1"/>
  <c r="HW24" i="1" s="1"/>
  <c r="HX24" i="1" s="1"/>
  <c r="HY24" i="1" s="1"/>
  <c r="HZ24" i="1" s="1"/>
  <c r="IA24" i="1" s="1"/>
  <c r="IB24" i="1" s="1"/>
  <c r="IC24" i="1" s="1"/>
  <c r="ID24" i="1" s="1"/>
  <c r="IE24" i="1" s="1"/>
  <c r="IF24" i="1" s="1"/>
  <c r="IG24" i="1" s="1"/>
  <c r="IH24" i="1" s="1"/>
  <c r="Z32" i="1" l="1"/>
  <c r="Z33" i="1" s="1"/>
  <c r="Z34" i="1" s="1"/>
  <c r="Z36" i="1" s="1"/>
  <c r="Z37" i="1" s="1"/>
  <c r="Y32" i="1"/>
  <c r="Y33" i="1" s="1"/>
  <c r="Y34" i="1" s="1"/>
  <c r="Y36" i="1" s="1"/>
  <c r="Y37" i="1" s="1"/>
  <c r="X32" i="1"/>
  <c r="X33" i="1" s="1"/>
  <c r="X34" i="1" s="1"/>
  <c r="X36" i="1" s="1"/>
  <c r="X37" i="1" s="1"/>
</calcChain>
</file>

<file path=xl/sharedStrings.xml><?xml version="1.0" encoding="utf-8"?>
<sst xmlns="http://schemas.openxmlformats.org/spreadsheetml/2006/main" count="497" uniqueCount="189">
  <si>
    <t>Revenue</t>
  </si>
  <si>
    <t>FY</t>
  </si>
  <si>
    <t>Income</t>
  </si>
  <si>
    <t>Statement</t>
  </si>
  <si>
    <t>System Revenue</t>
  </si>
  <si>
    <t>Service Revenue</t>
  </si>
  <si>
    <t>Total Revenue</t>
  </si>
  <si>
    <t>Cost Of Revenue</t>
  </si>
  <si>
    <t>Cost Of System Revenue</t>
  </si>
  <si>
    <t>Cost Of Service Revenue</t>
  </si>
  <si>
    <t>Total Cost Of Revenue</t>
  </si>
  <si>
    <t>Gross Profit</t>
  </si>
  <si>
    <t>R/D</t>
  </si>
  <si>
    <t>Other Income</t>
  </si>
  <si>
    <t>Interest &amp; Other</t>
  </si>
  <si>
    <t>Income Tax</t>
  </si>
  <si>
    <t>Net Income</t>
  </si>
  <si>
    <t>Margin</t>
  </si>
  <si>
    <t>Gross</t>
  </si>
  <si>
    <t>Operating</t>
  </si>
  <si>
    <t>Operating Profit (EBIT)</t>
  </si>
  <si>
    <t>Net</t>
  </si>
  <si>
    <t>Gross - System</t>
  </si>
  <si>
    <t>Gross - Service</t>
  </si>
  <si>
    <t>Growth</t>
  </si>
  <si>
    <t>Revenue - System</t>
  </si>
  <si>
    <t>Revenue - Service</t>
  </si>
  <si>
    <t>Total Cost of Revenue</t>
  </si>
  <si>
    <t>Cost of Revenue - System</t>
  </si>
  <si>
    <t>Cost of Revenue - Service</t>
  </si>
  <si>
    <t>SG&amp;A</t>
  </si>
  <si>
    <t>Total Operating Costs</t>
  </si>
  <si>
    <t>Operating Costs</t>
  </si>
  <si>
    <t>Profit from Investments</t>
  </si>
  <si>
    <t>Income after Tax</t>
  </si>
  <si>
    <t>Income before Tax (EBT)</t>
  </si>
  <si>
    <t>8y Avg</t>
  </si>
  <si>
    <t>4y Avg</t>
  </si>
  <si>
    <t>Terminal</t>
  </si>
  <si>
    <t>Discount</t>
  </si>
  <si>
    <t>Shares</t>
  </si>
  <si>
    <t>Implied Price - $</t>
  </si>
  <si>
    <t>Implied Price - €</t>
  </si>
  <si>
    <t>Actual Price - $</t>
  </si>
  <si>
    <t>Difference - $</t>
  </si>
  <si>
    <t>NPV - €</t>
  </si>
  <si>
    <t>Status</t>
  </si>
  <si>
    <t>(Lazy) Net Income Discount Model</t>
  </si>
  <si>
    <t>Diluted</t>
  </si>
  <si>
    <t>Basic</t>
  </si>
  <si>
    <t xml:space="preserve">Number of ordinary shares used in computing per share amounts: </t>
  </si>
  <si>
    <t>Diluted net income per ordinary share</t>
  </si>
  <si>
    <t>Basic net income per ordinary share</t>
  </si>
  <si>
    <t>Net income</t>
  </si>
  <si>
    <t>Profit from equity method investments</t>
  </si>
  <si>
    <t>Income after income taxes</t>
  </si>
  <si>
    <t>Income tax expense</t>
  </si>
  <si>
    <t>Income before income taxes</t>
  </si>
  <si>
    <t>Interest and other, net</t>
  </si>
  <si>
    <t>Income from operations</t>
  </si>
  <si>
    <t>Other income</t>
  </si>
  <si>
    <t>Selling, general and administrative (SG&amp;A) costs</t>
  </si>
  <si>
    <t>Research and development (R&amp;D) costs</t>
  </si>
  <si>
    <t>Gross profit</t>
  </si>
  <si>
    <t>Total cost of sales</t>
  </si>
  <si>
    <t>Cost of service and field option sales</t>
  </si>
  <si>
    <t>Cost of system sales</t>
  </si>
  <si>
    <t>Total net sales</t>
  </si>
  <si>
    <t>Net service and field option sales</t>
  </si>
  <si>
    <t>Net system sales</t>
  </si>
  <si>
    <t>2024</t>
  </si>
  <si>
    <t>2023</t>
  </si>
  <si>
    <t>2022</t>
  </si>
  <si>
    <t>Year ended December 31 (€, in millions, except per share data)</t>
  </si>
  <si>
    <t>Consolidated Statements of Operations for the years ended December 31, 2022, 2023 and 2024</t>
  </si>
  <si>
    <t>Always refer to the electronic version of the ASML 2024 Annual Report based on US GAAP for the full and official financial information.</t>
  </si>
  <si>
    <t>Please note: The content of this file is qualified in its entirety by reference to the electronic version of the ASML 2024 Annual Report based on US GAAP and therefore: (i) your local (browser and/or mobile device) settings can influence the way this table and its content is being displayed and (ii) (foot)notes have been deleted for reader's convenience.</t>
  </si>
  <si>
    <t>USGAAP</t>
  </si>
  <si>
    <t>Attributable to equity holders</t>
  </si>
  <si>
    <t>Total comprehensive income, net of taxes</t>
  </si>
  <si>
    <t>Other comprehensive income, net of taxes</t>
  </si>
  <si>
    <t>Transfers to net income</t>
  </si>
  <si>
    <t>Gain (loss) on derivative financial instruments</t>
  </si>
  <si>
    <t>Financial instruments, net of taxes:</t>
  </si>
  <si>
    <t>Gain (loss) on foreign currency translation</t>
  </si>
  <si>
    <t>Foreign currency translation, net of taxes:</t>
  </si>
  <si>
    <t>Proportionate share of OCI from equity method investments</t>
  </si>
  <si>
    <t>Other comprehensive income (OCI):</t>
  </si>
  <si>
    <t>Year ended December 31 (€, in millions)</t>
  </si>
  <si>
    <t>Consolidated Statements of Comprehensive Income for the years ended December 31, 2022, 2023 and 2024</t>
  </si>
  <si>
    <t>Total liabilities and shareholders’ equity</t>
  </si>
  <si>
    <t>Total shareholders’ equity</t>
  </si>
  <si>
    <t>Accumulated other comprehensive income</t>
  </si>
  <si>
    <t>Retained earnings</t>
  </si>
  <si>
    <t>Treasury shares at cost</t>
  </si>
  <si>
    <t>Share premium</t>
  </si>
  <si>
    <t>Issued and outstanding shares</t>
  </si>
  <si>
    <r>
      <rPr>
        <sz val="8"/>
        <color rgb="FF000000"/>
        <rFont val="Arial"/>
        <family val="2"/>
      </rPr>
      <t>393,283,720</t>
    </r>
    <r>
      <rPr>
        <sz val="8"/>
        <color rgb="FF000000"/>
        <rFont val="Arial"/>
        <family val="2"/>
      </rPr>
      <t xml:space="preserve"> issued and outstanding at December 31, </t>
    </r>
    <r>
      <rPr>
        <sz val="8"/>
        <color rgb="FF000000"/>
        <rFont val="Arial"/>
        <family val="2"/>
      </rPr>
      <t>2024</t>
    </r>
    <r>
      <rPr>
        <sz val="8"/>
        <color rgb="FF000000"/>
        <rFont val="Arial"/>
        <family val="2"/>
      </rPr>
      <t xml:space="preserve"> (</t>
    </r>
    <r>
      <rPr>
        <sz val="8"/>
        <color rgb="FF000000"/>
        <rFont val="Arial"/>
        <family val="2"/>
      </rPr>
      <t>2023</t>
    </r>
    <r>
      <rPr>
        <sz val="8"/>
        <color rgb="FF000000"/>
        <rFont val="Arial"/>
        <family val="2"/>
      </rPr>
      <t xml:space="preserve">: </t>
    </r>
    <r>
      <rPr>
        <sz val="8"/>
        <color rgb="FF000000"/>
        <rFont val="Arial"/>
        <family val="2"/>
      </rPr>
      <t>393,421,721</t>
    </r>
    <r>
      <rPr>
        <sz val="8"/>
        <color rgb="FF000000"/>
        <rFont val="Arial"/>
        <family val="2"/>
      </rPr>
      <t>)</t>
    </r>
  </si>
  <si>
    <t>700,000,000 shares authorized at December 31, 2024 (2023: 700,000,000)</t>
  </si>
  <si>
    <t xml:space="preserve">Ordinary shares; €0.09 nominal value; </t>
  </si>
  <si>
    <t>Total liabilities</t>
  </si>
  <si>
    <t>Total non-current liabilities</t>
  </si>
  <si>
    <t>Accrued and other liabilities</t>
  </si>
  <si>
    <t>Contract liabilities</t>
  </si>
  <si>
    <t>Deferred and other income tax liabilities</t>
  </si>
  <si>
    <t>Long-term debt</t>
  </si>
  <si>
    <t>Total current liabilities</t>
  </si>
  <si>
    <t>Current portion of long-term debt</t>
  </si>
  <si>
    <t>Current tax liabilities</t>
  </si>
  <si>
    <t>Accounts payable</t>
  </si>
  <si>
    <t>Liabilities and shareholders’ equity</t>
  </si>
  <si>
    <t>Total assets</t>
  </si>
  <si>
    <t>Total non-current assets</t>
  </si>
  <si>
    <t>Right-of-use assets</t>
  </si>
  <si>
    <t>Property, plant and equipment, net</t>
  </si>
  <si>
    <t>Other intangible assets, net</t>
  </si>
  <si>
    <t>Goodwill</t>
  </si>
  <si>
    <t>Equity method investments</t>
  </si>
  <si>
    <t>Other assets</t>
  </si>
  <si>
    <t>Loans receivable</t>
  </si>
  <si>
    <t>Deferred tax assets</t>
  </si>
  <si>
    <t>Finance receivables, net</t>
  </si>
  <si>
    <t>Total current assets</t>
  </si>
  <si>
    <t>Inventories, net</t>
  </si>
  <si>
    <t>Contract assets</t>
  </si>
  <si>
    <t>Current tax assets</t>
  </si>
  <si>
    <r>
      <rPr>
        <sz val="8"/>
        <color rgb="FF000000"/>
        <rFont val="Arial"/>
        <family val="2"/>
      </rPr>
      <t>Accounts receivable, net</t>
    </r>
    <r>
      <rPr>
        <vertAlign val="superscript"/>
        <sz val="8"/>
        <color rgb="FF000000"/>
        <rFont val="Arial"/>
        <family val="2"/>
      </rPr>
      <t>1</t>
    </r>
  </si>
  <si>
    <t>Short-term investments</t>
  </si>
  <si>
    <t>Cash and cash equivalents</t>
  </si>
  <si>
    <t>Assets</t>
  </si>
  <si>
    <t>As of December 31 (€, in millions, except share and per share data)</t>
  </si>
  <si>
    <t>Consolidated Balance Sheets for the years ended December 31, 2023 and 2024</t>
  </si>
  <si>
    <t>Balance at December 31, 2024</t>
  </si>
  <si>
    <t>Dividend paid</t>
  </si>
  <si>
    <t>Issuance of shares</t>
  </si>
  <si>
    <t>Share-based payments</t>
  </si>
  <si>
    <t>Cancellation of treasury shares</t>
  </si>
  <si>
    <t>Purchase of treasury shares</t>
  </si>
  <si>
    <t>Total comprehensive income</t>
  </si>
  <si>
    <t xml:space="preserve">Gain (loss) on financial instruments </t>
  </si>
  <si>
    <t>Components of comprehensive income:</t>
  </si>
  <si>
    <t>Balance at December 31, 2023</t>
  </si>
  <si>
    <t>Balance at December 31, 2022</t>
  </si>
  <si>
    <t>Balance at January 1, 2022</t>
  </si>
  <si>
    <t>Total</t>
  </si>
  <si>
    <t>OCI</t>
  </si>
  <si>
    <t>Amount</t>
  </si>
  <si>
    <t>Number</t>
  </si>
  <si>
    <t>(€, in millions)</t>
  </si>
  <si>
    <t>Consolidated Statements of Shareholders' Equity for the years ended December 31, 2022, 2023 and 2024</t>
  </si>
  <si>
    <t>Income taxes paid, net of refunds</t>
  </si>
  <si>
    <t>Interest paid</t>
  </si>
  <si>
    <t>Interest received</t>
  </si>
  <si>
    <t>Unpaid portion of property, plant and equipment, excluded in investing activities, included in accounts payable</t>
  </si>
  <si>
    <t>Supplemental disclosures of cash flow information</t>
  </si>
  <si>
    <t>Cash and cash equivalents at end of the year</t>
  </si>
  <si>
    <t>Cash and cash equivalents at beginning of the year</t>
  </si>
  <si>
    <t>Net increase (decrease) in cash and cash equivalents</t>
  </si>
  <si>
    <t>Effect of changes in exchange rates on cash</t>
  </si>
  <si>
    <t>Net cash flows</t>
  </si>
  <si>
    <t>Net cash used in financing activities</t>
  </si>
  <si>
    <t>Repayment of debt and finance lease obligations</t>
  </si>
  <si>
    <t>Net proceeds from issuance of notes, net of issuance costs</t>
  </si>
  <si>
    <t>Net proceeds from issuance of shares</t>
  </si>
  <si>
    <t>Cash flows from financing activities</t>
  </si>
  <si>
    <t>Net cash used in investing activities</t>
  </si>
  <si>
    <t>Acquisition of subsidiaries (net of cash acquired)</t>
  </si>
  <si>
    <t>Proceeds from sale of subsidiaries (net of cash disposed of)</t>
  </si>
  <si>
    <r>
      <rPr>
        <sz val="8"/>
        <color rgb="FF000000"/>
        <rFont val="Arial"/>
        <family val="2"/>
      </rPr>
      <t>Loans issued and other investments</t>
    </r>
    <r>
      <rPr>
        <vertAlign val="superscript"/>
        <sz val="8"/>
        <color rgb="FF000000"/>
        <rFont val="Arial"/>
        <family val="2"/>
      </rPr>
      <t>4</t>
    </r>
  </si>
  <si>
    <t>Maturity of short-term investments</t>
  </si>
  <si>
    <t xml:space="preserve">Purchase of short-term investments </t>
  </si>
  <si>
    <t>Purchase of intangible assets</t>
  </si>
  <si>
    <t>Purchase of property, plant and equipment</t>
  </si>
  <si>
    <t>Cash flows from investing activities</t>
  </si>
  <si>
    <t>Net cash provided by operating activities</t>
  </si>
  <si>
    <t>Contract assets and liabilities</t>
  </si>
  <si>
    <t>Current tax assets and liabilities</t>
  </si>
  <si>
    <t xml:space="preserve">Inventories </t>
  </si>
  <si>
    <t>Accounts receivable, net</t>
  </si>
  <si>
    <t>Changes in assets and liabilities:</t>
  </si>
  <si>
    <t>Deferred tax expense (benefit)</t>
  </si>
  <si>
    <t>Inventory reserves</t>
  </si>
  <si>
    <t>Gain on sale of subsidiaries</t>
  </si>
  <si>
    <t>Share-based compensation expense</t>
  </si>
  <si>
    <t>Impairment and loss on disposal</t>
  </si>
  <si>
    <t>Depreciation and amortization</t>
  </si>
  <si>
    <t>Adjustments to reconcile net income to net cash flows from operating activities:</t>
  </si>
  <si>
    <t>Cash flows from operating activities</t>
  </si>
  <si>
    <t>Consolidated Statements of Cash Flows for the years ended December 31, 2022, 2023 and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</si>
</sst>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* #,##0.0;* \(#,##0.0\);* &quot;—&quot;;_(@_)"/>
    <numFmt numFmtId="166" formatCode="* #,##0.00;* \(#,##0.00\);* &quot;—&quot;;_(@_)"/>
    <numFmt numFmtId="167" formatCode="#0;\(#0\);&quot;—&quot;;_(@_)"/>
    <numFmt numFmtId="168" formatCode="#0;&quot;-&quot;#0;#0;_(@_)"/>
  </numFmts>
  <fonts count="1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  <font>
      <sz val="8"/>
      <color rgb="FF000000"/>
      <name val="HelveticaNeueLT W1G 55 Roman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66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5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2" xfId="0" applyFill="1" applyBorder="1"/>
    <xf numFmtId="40" fontId="0" fillId="2" borderId="7" xfId="0" applyNumberFormat="1" applyFill="1" applyBorder="1"/>
    <xf numFmtId="40" fontId="1" fillId="2" borderId="1" xfId="0" applyNumberFormat="1" applyFont="1" applyFill="1" applyBorder="1"/>
    <xf numFmtId="0" fontId="2" fillId="2" borderId="7" xfId="0" applyFont="1" applyFill="1" applyBorder="1"/>
    <xf numFmtId="40" fontId="1" fillId="2" borderId="2" xfId="0" applyNumberFormat="1" applyFont="1" applyFill="1" applyBorder="1"/>
    <xf numFmtId="40" fontId="1" fillId="2" borderId="8" xfId="0" applyNumberFormat="1" applyFont="1" applyFill="1" applyBorder="1"/>
    <xf numFmtId="0" fontId="2" fillId="2" borderId="2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1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right"/>
    </xf>
    <xf numFmtId="0" fontId="0" fillId="2" borderId="13" xfId="0" applyFill="1" applyBorder="1"/>
    <xf numFmtId="0" fontId="0" fillId="2" borderId="4" xfId="0" applyFill="1" applyBorder="1"/>
    <xf numFmtId="0" fontId="0" fillId="2" borderId="14" xfId="0" applyFill="1" applyBorder="1"/>
    <xf numFmtId="0" fontId="3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9" fontId="3" fillId="2" borderId="2" xfId="0" applyNumberFormat="1" applyFont="1" applyFill="1" applyBorder="1"/>
    <xf numFmtId="9" fontId="3" fillId="2" borderId="7" xfId="0" applyNumberFormat="1" applyFont="1" applyFill="1" applyBorder="1"/>
    <xf numFmtId="9" fontId="0" fillId="2" borderId="2" xfId="0" quotePrefix="1" applyNumberFormat="1" applyFill="1" applyBorder="1"/>
    <xf numFmtId="9" fontId="0" fillId="2" borderId="7" xfId="0" applyNumberFormat="1" applyFill="1" applyBorder="1"/>
    <xf numFmtId="9" fontId="1" fillId="2" borderId="2" xfId="0" applyNumberFormat="1" applyFont="1" applyFill="1" applyBorder="1"/>
    <xf numFmtId="9" fontId="1" fillId="2" borderId="1" xfId="0" applyNumberFormat="1" applyFont="1" applyFill="1" applyBorder="1"/>
    <xf numFmtId="9" fontId="0" fillId="2" borderId="2" xfId="0" applyNumberFormat="1" applyFill="1" applyBorder="1"/>
    <xf numFmtId="0" fontId="2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9" fontId="2" fillId="2" borderId="7" xfId="0" applyNumberFormat="1" applyFont="1" applyFill="1" applyBorder="1"/>
    <xf numFmtId="0" fontId="2" fillId="2" borderId="3" xfId="0" applyFont="1" applyFill="1" applyBorder="1" applyAlignment="1">
      <alignment horizontal="right"/>
    </xf>
    <xf numFmtId="9" fontId="2" fillId="2" borderId="3" xfId="0" applyNumberFormat="1" applyFont="1" applyFill="1" applyBorder="1"/>
    <xf numFmtId="9" fontId="2" fillId="2" borderId="2" xfId="0" applyNumberFormat="1" applyFont="1" applyFill="1" applyBorder="1"/>
    <xf numFmtId="40" fontId="1" fillId="2" borderId="4" xfId="0" applyNumberFormat="1" applyFont="1" applyFill="1" applyBorder="1"/>
    <xf numFmtId="40" fontId="1" fillId="2" borderId="14" xfId="0" applyNumberFormat="1" applyFont="1" applyFill="1" applyBorder="1"/>
    <xf numFmtId="164" fontId="0" fillId="2" borderId="11" xfId="0" applyNumberFormat="1" applyFill="1" applyBorder="1"/>
    <xf numFmtId="0" fontId="3" fillId="2" borderId="9" xfId="0" applyFont="1" applyFill="1" applyBorder="1"/>
    <xf numFmtId="0" fontId="3" fillId="2" borderId="10" xfId="0" applyFont="1" applyFill="1" applyBorder="1"/>
    <xf numFmtId="9" fontId="0" fillId="2" borderId="5" xfId="0" applyNumberFormat="1" applyFill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10" fontId="0" fillId="2" borderId="7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164" fontId="0" fillId="2" borderId="7" xfId="0" applyNumberFormat="1" applyFill="1" applyBorder="1"/>
    <xf numFmtId="0" fontId="2" fillId="2" borderId="10" xfId="0" applyFont="1" applyFill="1" applyBorder="1"/>
    <xf numFmtId="44" fontId="1" fillId="2" borderId="7" xfId="0" applyNumberFormat="1" applyFont="1" applyFill="1" applyBorder="1"/>
    <xf numFmtId="44" fontId="1" fillId="2" borderId="11" xfId="0" applyNumberFormat="1" applyFont="1" applyFill="1" applyBorder="1"/>
    <xf numFmtId="0" fontId="2" fillId="2" borderId="9" xfId="0" applyFont="1" applyFill="1" applyBorder="1"/>
    <xf numFmtId="44" fontId="1" fillId="2" borderId="2" xfId="0" applyNumberFormat="1" applyFont="1" applyFill="1" applyBorder="1"/>
    <xf numFmtId="44" fontId="1" fillId="2" borderId="5" xfId="0" applyNumberFormat="1" applyFont="1" applyFill="1" applyBorder="1"/>
    <xf numFmtId="0" fontId="2" fillId="2" borderId="12" xfId="0" applyFont="1" applyFill="1" applyBorder="1"/>
    <xf numFmtId="44" fontId="1" fillId="2" borderId="3" xfId="0" applyNumberFormat="1" applyFont="1" applyFill="1" applyBorder="1"/>
    <xf numFmtId="44" fontId="1" fillId="2" borderId="6" xfId="0" applyNumberFormat="1" applyFont="1" applyFill="1" applyBorder="1"/>
    <xf numFmtId="0" fontId="2" fillId="0" borderId="13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14" xfId="0" applyFont="1" applyBorder="1" applyAlignment="1">
      <alignment horizontal="centerContinuous"/>
    </xf>
    <xf numFmtId="0" fontId="4" fillId="0" borderId="0" xfId="1"/>
    <xf numFmtId="165" fontId="5" fillId="0" borderId="0" xfId="1" applyNumberFormat="1" applyFont="1" applyAlignment="1">
      <alignment wrapText="1"/>
    </xf>
    <xf numFmtId="165" fontId="6" fillId="0" borderId="0" xfId="1" applyNumberFormat="1" applyFont="1" applyAlignment="1">
      <alignment wrapText="1"/>
    </xf>
    <xf numFmtId="0" fontId="6" fillId="0" borderId="0" xfId="1" applyFont="1" applyAlignment="1">
      <alignment horizontal="left" wrapText="1"/>
    </xf>
    <xf numFmtId="166" fontId="5" fillId="0" borderId="0" xfId="1" applyNumberFormat="1" applyFont="1" applyAlignment="1">
      <alignment wrapText="1"/>
    </xf>
    <xf numFmtId="166" fontId="6" fillId="0" borderId="0" xfId="1" applyNumberFormat="1" applyFont="1" applyAlignment="1">
      <alignment wrapText="1"/>
    </xf>
    <xf numFmtId="0" fontId="5" fillId="0" borderId="0" xfId="1" applyFont="1" applyAlignment="1">
      <alignment horizontal="left" wrapText="1"/>
    </xf>
    <xf numFmtId="0" fontId="7" fillId="0" borderId="15" xfId="1" applyFont="1" applyBorder="1" applyAlignment="1">
      <alignment wrapText="1"/>
    </xf>
    <xf numFmtId="0" fontId="7" fillId="0" borderId="15" xfId="1" applyFont="1" applyBorder="1" applyAlignment="1">
      <alignment horizontal="left" wrapText="1"/>
    </xf>
    <xf numFmtId="165" fontId="5" fillId="0" borderId="16" xfId="1" applyNumberFormat="1" applyFont="1" applyBorder="1" applyAlignment="1">
      <alignment wrapText="1"/>
    </xf>
    <xf numFmtId="165" fontId="6" fillId="0" borderId="16" xfId="1" applyNumberFormat="1" applyFont="1" applyBorder="1" applyAlignment="1">
      <alignment wrapText="1"/>
    </xf>
    <xf numFmtId="0" fontId="6" fillId="0" borderId="16" xfId="1" applyFont="1" applyBorder="1" applyAlignment="1">
      <alignment horizontal="left" wrapText="1"/>
    </xf>
    <xf numFmtId="165" fontId="5" fillId="0" borderId="15" xfId="1" applyNumberFormat="1" applyFont="1" applyBorder="1" applyAlignment="1">
      <alignment wrapText="1"/>
    </xf>
    <xf numFmtId="165" fontId="6" fillId="0" borderId="15" xfId="1" applyNumberFormat="1" applyFont="1" applyBorder="1" applyAlignment="1">
      <alignment wrapText="1"/>
    </xf>
    <xf numFmtId="0" fontId="5" fillId="0" borderId="15" xfId="1" applyFont="1" applyBorder="1" applyAlignment="1">
      <alignment horizontal="left" wrapText="1"/>
    </xf>
    <xf numFmtId="0" fontId="6" fillId="0" borderId="15" xfId="1" applyFont="1" applyBorder="1" applyAlignment="1">
      <alignment horizontal="left" wrapText="1"/>
    </xf>
    <xf numFmtId="167" fontId="5" fillId="0" borderId="16" xfId="1" applyNumberFormat="1" applyFont="1" applyBorder="1" applyAlignment="1">
      <alignment horizontal="right" wrapText="1"/>
    </xf>
    <xf numFmtId="0" fontId="5" fillId="0" borderId="16" xfId="1" applyFont="1" applyBorder="1" applyAlignment="1">
      <alignment horizontal="left" wrapText="1"/>
    </xf>
    <xf numFmtId="0" fontId="8" fillId="0" borderId="15" xfId="1" applyFont="1" applyBorder="1" applyAlignment="1">
      <alignment horizontal="left" wrapText="1"/>
    </xf>
    <xf numFmtId="0" fontId="4" fillId="0" borderId="0" xfId="1"/>
    <xf numFmtId="0" fontId="9" fillId="0" borderId="16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10" fillId="0" borderId="0" xfId="1" applyFont="1" applyAlignment="1">
      <alignment horizontal="left" wrapText="1"/>
    </xf>
    <xf numFmtId="168" fontId="5" fillId="0" borderId="16" xfId="1" applyNumberFormat="1" applyFont="1" applyBorder="1" applyAlignment="1">
      <alignment horizontal="right" wrapText="1"/>
    </xf>
    <xf numFmtId="0" fontId="5" fillId="0" borderId="15" xfId="1" applyFont="1" applyBorder="1" applyAlignment="1">
      <alignment horizontal="right" wrapText="1"/>
    </xf>
    <xf numFmtId="0" fontId="12" fillId="0" borderId="15" xfId="1" applyFont="1" applyBorder="1" applyAlignment="1">
      <alignment horizontal="right" wrapText="1"/>
    </xf>
    <xf numFmtId="0" fontId="5" fillId="0" borderId="16" xfId="1" applyFont="1" applyBorder="1" applyAlignment="1">
      <alignment horizontal="right" wrapText="1"/>
    </xf>
    <xf numFmtId="0" fontId="5" fillId="0" borderId="0" xfId="1" applyFont="1" applyAlignment="1">
      <alignment horizontal="center" wrapText="1"/>
    </xf>
    <xf numFmtId="0" fontId="6" fillId="0" borderId="16" xfId="1" applyFont="1" applyBorder="1" applyAlignment="1">
      <alignment horizontal="left" wrapText="1" indent="4"/>
    </xf>
    <xf numFmtId="0" fontId="6" fillId="0" borderId="0" xfId="1" applyFont="1" applyAlignment="1">
      <alignment horizontal="left" wrapText="1" indent="4"/>
    </xf>
    <xf numFmtId="0" fontId="6" fillId="0" borderId="0" xfId="1" applyFont="1" applyAlignment="1">
      <alignment horizontal="left" wrapText="1" indent="2"/>
    </xf>
  </cellXfs>
  <cellStyles count="2">
    <cellStyle name="Normal" xfId="0" builtinId="0"/>
    <cellStyle name="Normal 2" xfId="1" xr:uid="{0EFB39A9-B6C9-4C22-A387-B64626315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5783-9643-442B-BEA5-ECBA8790FDB2}">
  <dimension ref="B2:IH51"/>
  <sheetViews>
    <sheetView showGridLines="0" zoomScale="50" zoomScaleNormal="50" workbookViewId="0"/>
  </sheetViews>
  <sheetFormatPr defaultColWidth="2.578125" defaultRowHeight="14.4"/>
  <cols>
    <col min="2" max="2" width="21.26171875" bestFit="1" customWidth="1"/>
    <col min="3" max="4" width="9" bestFit="1" customWidth="1"/>
    <col min="5" max="8" width="9.3671875" bestFit="1" customWidth="1"/>
    <col min="9" max="17" width="10" bestFit="1" customWidth="1"/>
    <col min="18" max="22" width="10.3671875" bestFit="1" customWidth="1"/>
    <col min="23" max="23" width="14.3671875" bestFit="1" customWidth="1"/>
    <col min="24" max="26" width="12.20703125" bestFit="1" customWidth="1"/>
    <col min="27" max="45" width="9.3671875" bestFit="1" customWidth="1"/>
    <col min="46" max="242" width="10.3671875" bestFit="1" customWidth="1"/>
  </cols>
  <sheetData>
    <row r="2" spans="2:242">
      <c r="B2" s="3" t="s">
        <v>2</v>
      </c>
      <c r="C2" s="5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  <c r="CB2" s="1" t="s">
        <v>1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  <c r="CN2" s="1" t="s">
        <v>1</v>
      </c>
      <c r="CO2" s="1" t="s">
        <v>1</v>
      </c>
      <c r="CP2" s="1" t="s">
        <v>1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1" t="s">
        <v>1</v>
      </c>
      <c r="DI2" s="1" t="s">
        <v>1</v>
      </c>
      <c r="DJ2" s="1" t="s">
        <v>1</v>
      </c>
      <c r="DK2" s="1" t="s">
        <v>1</v>
      </c>
      <c r="DL2" s="1" t="s">
        <v>1</v>
      </c>
      <c r="DM2" s="1" t="s">
        <v>1</v>
      </c>
      <c r="DN2" s="1" t="s">
        <v>1</v>
      </c>
      <c r="DO2" s="1" t="s">
        <v>1</v>
      </c>
      <c r="DP2" s="1" t="s">
        <v>1</v>
      </c>
      <c r="DQ2" s="1" t="s">
        <v>1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  <c r="FN2" s="1" t="s">
        <v>1</v>
      </c>
      <c r="FO2" s="1" t="s">
        <v>1</v>
      </c>
      <c r="FP2" s="1" t="s">
        <v>1</v>
      </c>
      <c r="FQ2" s="1" t="s">
        <v>1</v>
      </c>
      <c r="FR2" s="1" t="s">
        <v>1</v>
      </c>
      <c r="FS2" s="1" t="s">
        <v>1</v>
      </c>
      <c r="FT2" s="1" t="s">
        <v>1</v>
      </c>
      <c r="FU2" s="1" t="s">
        <v>1</v>
      </c>
      <c r="FV2" s="1" t="s">
        <v>1</v>
      </c>
      <c r="FW2" s="1" t="s">
        <v>1</v>
      </c>
      <c r="FX2" s="1" t="s">
        <v>1</v>
      </c>
      <c r="FY2" s="1" t="s">
        <v>1</v>
      </c>
      <c r="FZ2" s="1" t="s">
        <v>1</v>
      </c>
      <c r="GA2" s="1" t="s">
        <v>1</v>
      </c>
      <c r="GB2" s="1" t="s">
        <v>1</v>
      </c>
      <c r="GC2" s="1" t="s">
        <v>1</v>
      </c>
      <c r="GD2" s="1" t="s">
        <v>1</v>
      </c>
      <c r="GE2" s="1" t="s">
        <v>1</v>
      </c>
      <c r="GF2" s="1" t="s">
        <v>1</v>
      </c>
      <c r="GG2" s="1" t="s">
        <v>1</v>
      </c>
      <c r="GH2" s="1" t="s">
        <v>1</v>
      </c>
      <c r="GI2" s="1" t="s">
        <v>1</v>
      </c>
      <c r="GJ2" s="1" t="s">
        <v>1</v>
      </c>
      <c r="GK2" s="1" t="s">
        <v>1</v>
      </c>
      <c r="GL2" s="1" t="s">
        <v>1</v>
      </c>
      <c r="GM2" s="1" t="s">
        <v>1</v>
      </c>
      <c r="GN2" s="1" t="s">
        <v>1</v>
      </c>
      <c r="GO2" s="1" t="s">
        <v>1</v>
      </c>
      <c r="GP2" s="1" t="s">
        <v>1</v>
      </c>
      <c r="GQ2" s="1" t="s">
        <v>1</v>
      </c>
      <c r="GR2" s="1" t="s">
        <v>1</v>
      </c>
      <c r="GS2" s="1" t="s">
        <v>1</v>
      </c>
      <c r="GT2" s="1" t="s">
        <v>1</v>
      </c>
      <c r="GU2" s="1" t="s">
        <v>1</v>
      </c>
      <c r="GV2" s="1" t="s">
        <v>1</v>
      </c>
      <c r="GW2" s="1" t="s">
        <v>1</v>
      </c>
      <c r="GX2" s="1" t="s">
        <v>1</v>
      </c>
      <c r="GY2" s="1" t="s">
        <v>1</v>
      </c>
      <c r="GZ2" s="1" t="s">
        <v>1</v>
      </c>
      <c r="HA2" s="1" t="s">
        <v>1</v>
      </c>
      <c r="HB2" s="1" t="s">
        <v>1</v>
      </c>
      <c r="HC2" s="1" t="s">
        <v>1</v>
      </c>
      <c r="HD2" s="1" t="s">
        <v>1</v>
      </c>
      <c r="HE2" s="1" t="s">
        <v>1</v>
      </c>
      <c r="HF2" s="1" t="s">
        <v>1</v>
      </c>
      <c r="HG2" s="1" t="s">
        <v>1</v>
      </c>
      <c r="HH2" s="1" t="s">
        <v>1</v>
      </c>
      <c r="HI2" s="1" t="s">
        <v>1</v>
      </c>
      <c r="HJ2" s="1" t="s">
        <v>1</v>
      </c>
      <c r="HK2" s="1" t="s">
        <v>1</v>
      </c>
      <c r="HL2" s="1" t="s">
        <v>1</v>
      </c>
      <c r="HM2" s="1" t="s">
        <v>1</v>
      </c>
      <c r="HN2" s="1" t="s">
        <v>1</v>
      </c>
      <c r="HO2" s="1" t="s">
        <v>1</v>
      </c>
      <c r="HP2" s="1" t="s">
        <v>1</v>
      </c>
      <c r="HQ2" s="1" t="s">
        <v>1</v>
      </c>
      <c r="HR2" s="1" t="s">
        <v>1</v>
      </c>
      <c r="HS2" s="1" t="s">
        <v>1</v>
      </c>
      <c r="HT2" s="1" t="s">
        <v>1</v>
      </c>
      <c r="HU2" s="1" t="s">
        <v>1</v>
      </c>
      <c r="HV2" s="1" t="s">
        <v>1</v>
      </c>
      <c r="HW2" s="1" t="s">
        <v>1</v>
      </c>
      <c r="HX2" s="1" t="s">
        <v>1</v>
      </c>
      <c r="HY2" s="1" t="s">
        <v>1</v>
      </c>
      <c r="HZ2" s="1" t="s">
        <v>1</v>
      </c>
      <c r="IA2" s="1" t="s">
        <v>1</v>
      </c>
      <c r="IB2" s="1" t="s">
        <v>1</v>
      </c>
      <c r="IC2" s="1" t="s">
        <v>1</v>
      </c>
      <c r="ID2" s="1" t="s">
        <v>1</v>
      </c>
      <c r="IE2" s="1" t="s">
        <v>1</v>
      </c>
      <c r="IF2" s="1" t="s">
        <v>1</v>
      </c>
      <c r="IG2" s="1" t="s">
        <v>1</v>
      </c>
      <c r="IH2" s="1" t="s">
        <v>1</v>
      </c>
    </row>
    <row r="3" spans="2:242">
      <c r="B3" s="4" t="s">
        <v>3</v>
      </c>
      <c r="C3" s="6">
        <v>2016</v>
      </c>
      <c r="D3" s="2">
        <v>2017</v>
      </c>
      <c r="E3" s="2">
        <v>2018</v>
      </c>
      <c r="F3" s="2">
        <v>2019</v>
      </c>
      <c r="G3" s="2">
        <v>2020</v>
      </c>
      <c r="H3" s="2">
        <v>2021</v>
      </c>
      <c r="I3" s="2">
        <v>2022</v>
      </c>
      <c r="J3" s="2">
        <v>2023</v>
      </c>
      <c r="K3" s="2">
        <v>2024</v>
      </c>
      <c r="L3" s="2">
        <v>2025</v>
      </c>
      <c r="M3" s="2">
        <v>2026</v>
      </c>
      <c r="N3" s="2">
        <v>2027</v>
      </c>
      <c r="O3" s="2">
        <v>2028</v>
      </c>
      <c r="P3" s="2">
        <v>2029</v>
      </c>
      <c r="Q3" s="2">
        <v>2030</v>
      </c>
      <c r="R3" s="2">
        <v>2030</v>
      </c>
      <c r="S3" s="2">
        <v>2030</v>
      </c>
      <c r="T3" s="2">
        <v>2030</v>
      </c>
      <c r="U3" s="2">
        <v>2030</v>
      </c>
      <c r="V3" s="2">
        <v>2030</v>
      </c>
      <c r="W3" s="2">
        <v>2036</v>
      </c>
      <c r="X3" s="2">
        <v>2037</v>
      </c>
      <c r="Y3" s="2">
        <v>2038</v>
      </c>
      <c r="Z3" s="2">
        <v>2039</v>
      </c>
      <c r="AA3" s="2">
        <v>2040</v>
      </c>
      <c r="AB3" s="2">
        <v>2041</v>
      </c>
      <c r="AC3" s="2">
        <v>2042</v>
      </c>
      <c r="AD3" s="2">
        <v>2043</v>
      </c>
      <c r="AE3" s="2">
        <v>2044</v>
      </c>
      <c r="AF3" s="2">
        <v>2045</v>
      </c>
      <c r="AG3" s="2">
        <v>2046</v>
      </c>
      <c r="AH3" s="2">
        <v>2047</v>
      </c>
      <c r="AI3" s="2">
        <v>2048</v>
      </c>
      <c r="AJ3" s="2">
        <v>2049</v>
      </c>
      <c r="AK3" s="2">
        <v>2050</v>
      </c>
      <c r="AL3" s="2">
        <v>2051</v>
      </c>
      <c r="AM3" s="2">
        <v>2052</v>
      </c>
      <c r="AN3" s="2">
        <v>2053</v>
      </c>
      <c r="AO3" s="2">
        <v>2054</v>
      </c>
      <c r="AP3" s="2">
        <v>2055</v>
      </c>
      <c r="AQ3" s="2">
        <v>2056</v>
      </c>
      <c r="AR3" s="2">
        <v>2057</v>
      </c>
      <c r="AS3" s="2">
        <v>2058</v>
      </c>
      <c r="AT3" s="2">
        <v>2059</v>
      </c>
      <c r="AU3" s="2">
        <v>2060</v>
      </c>
      <c r="AV3" s="2">
        <v>2061</v>
      </c>
      <c r="AW3" s="2">
        <v>2062</v>
      </c>
      <c r="AX3" s="2">
        <v>2063</v>
      </c>
      <c r="AY3" s="2">
        <v>2064</v>
      </c>
      <c r="AZ3" s="2">
        <v>2065</v>
      </c>
      <c r="BA3" s="2">
        <v>2066</v>
      </c>
      <c r="BB3" s="2">
        <v>2067</v>
      </c>
      <c r="BC3" s="2">
        <v>2068</v>
      </c>
      <c r="BD3" s="2">
        <v>2069</v>
      </c>
      <c r="BE3" s="2">
        <v>2070</v>
      </c>
      <c r="BF3" s="2">
        <v>2071</v>
      </c>
      <c r="BG3" s="2">
        <v>2072</v>
      </c>
      <c r="BH3" s="2">
        <v>2073</v>
      </c>
      <c r="BI3" s="2">
        <v>2074</v>
      </c>
      <c r="BJ3" s="2">
        <v>2075</v>
      </c>
      <c r="BK3" s="2">
        <v>2076</v>
      </c>
      <c r="BL3" s="2">
        <v>2077</v>
      </c>
      <c r="BM3" s="2">
        <v>2078</v>
      </c>
      <c r="BN3" s="2">
        <v>2079</v>
      </c>
      <c r="BO3" s="2">
        <v>2080</v>
      </c>
      <c r="BP3" s="2">
        <v>2081</v>
      </c>
      <c r="BQ3" s="2">
        <v>2082</v>
      </c>
      <c r="BR3" s="2">
        <v>2083</v>
      </c>
      <c r="BS3" s="2">
        <v>2084</v>
      </c>
      <c r="BT3" s="2">
        <v>2085</v>
      </c>
      <c r="BU3" s="2">
        <v>2086</v>
      </c>
      <c r="BV3" s="2">
        <v>2087</v>
      </c>
      <c r="BW3" s="2">
        <v>2088</v>
      </c>
      <c r="BX3" s="2">
        <v>2089</v>
      </c>
      <c r="BY3" s="2">
        <v>2090</v>
      </c>
      <c r="BZ3" s="2">
        <v>2091</v>
      </c>
      <c r="CA3" s="2">
        <v>2092</v>
      </c>
      <c r="CB3" s="2">
        <v>2093</v>
      </c>
      <c r="CC3" s="2">
        <v>2094</v>
      </c>
      <c r="CD3" s="2">
        <v>2095</v>
      </c>
      <c r="CE3" s="2">
        <v>2096</v>
      </c>
      <c r="CF3" s="2">
        <v>2097</v>
      </c>
      <c r="CG3" s="2">
        <v>2098</v>
      </c>
      <c r="CH3" s="2">
        <v>2099</v>
      </c>
      <c r="CI3" s="2">
        <v>2100</v>
      </c>
      <c r="CJ3" s="2">
        <v>2101</v>
      </c>
      <c r="CK3" s="2">
        <v>2102</v>
      </c>
      <c r="CL3" s="2">
        <v>2103</v>
      </c>
      <c r="CM3" s="2">
        <v>2104</v>
      </c>
      <c r="CN3" s="2">
        <v>2105</v>
      </c>
      <c r="CO3" s="2">
        <v>2106</v>
      </c>
      <c r="CP3" s="2">
        <v>2107</v>
      </c>
      <c r="CQ3" s="2">
        <v>2108</v>
      </c>
      <c r="CR3" s="2">
        <v>2109</v>
      </c>
      <c r="CS3" s="2">
        <v>2110</v>
      </c>
      <c r="CT3" s="2">
        <v>2111</v>
      </c>
      <c r="CU3" s="2">
        <v>2112</v>
      </c>
      <c r="CV3" s="2">
        <v>2113</v>
      </c>
      <c r="CW3" s="2">
        <v>2114</v>
      </c>
      <c r="CX3" s="2">
        <v>2115</v>
      </c>
      <c r="CY3" s="2">
        <v>2116</v>
      </c>
      <c r="CZ3" s="2">
        <v>2117</v>
      </c>
      <c r="DA3" s="2">
        <v>2118</v>
      </c>
      <c r="DB3" s="2">
        <v>2119</v>
      </c>
      <c r="DC3" s="2">
        <v>2120</v>
      </c>
      <c r="DD3" s="2">
        <v>2121</v>
      </c>
      <c r="DE3" s="2">
        <v>2122</v>
      </c>
      <c r="DF3" s="2">
        <v>2123</v>
      </c>
      <c r="DG3" s="2">
        <v>2124</v>
      </c>
      <c r="DH3" s="2">
        <v>2125</v>
      </c>
      <c r="DI3" s="2">
        <v>2126</v>
      </c>
      <c r="DJ3" s="2">
        <v>2127</v>
      </c>
      <c r="DK3" s="2">
        <v>2128</v>
      </c>
      <c r="DL3" s="2">
        <v>2129</v>
      </c>
      <c r="DM3" s="2">
        <v>2130</v>
      </c>
      <c r="DN3" s="2">
        <v>2131</v>
      </c>
      <c r="DO3" s="2">
        <v>2132</v>
      </c>
      <c r="DP3" s="2">
        <v>2133</v>
      </c>
      <c r="DQ3" s="2">
        <v>2134</v>
      </c>
      <c r="DR3" s="2">
        <v>2135</v>
      </c>
      <c r="DS3" s="2">
        <v>2136</v>
      </c>
      <c r="DT3" s="2">
        <v>2137</v>
      </c>
      <c r="DU3" s="2">
        <v>2138</v>
      </c>
      <c r="DV3" s="2">
        <v>2139</v>
      </c>
      <c r="DW3" s="2">
        <v>2140</v>
      </c>
      <c r="DX3" s="2">
        <v>2141</v>
      </c>
      <c r="DY3" s="2">
        <v>2142</v>
      </c>
      <c r="DZ3" s="2">
        <v>2143</v>
      </c>
      <c r="EA3" s="2">
        <v>2144</v>
      </c>
      <c r="EB3" s="2">
        <v>2145</v>
      </c>
      <c r="EC3" s="2">
        <v>2146</v>
      </c>
      <c r="ED3" s="2">
        <v>2147</v>
      </c>
      <c r="EE3" s="2">
        <v>2148</v>
      </c>
      <c r="EF3" s="2">
        <v>2149</v>
      </c>
      <c r="EG3" s="2">
        <v>2150</v>
      </c>
      <c r="EH3" s="2">
        <v>2151</v>
      </c>
      <c r="EI3" s="2">
        <v>2152</v>
      </c>
      <c r="EJ3" s="2">
        <v>2153</v>
      </c>
      <c r="EK3" s="2">
        <v>2154</v>
      </c>
      <c r="EL3" s="2">
        <v>2155</v>
      </c>
      <c r="EM3" s="2">
        <v>2156</v>
      </c>
      <c r="EN3" s="2">
        <v>2157</v>
      </c>
      <c r="EO3" s="2">
        <v>2158</v>
      </c>
      <c r="EP3" s="2">
        <v>2159</v>
      </c>
      <c r="EQ3" s="2">
        <v>2160</v>
      </c>
      <c r="ER3" s="2">
        <v>2161</v>
      </c>
      <c r="ES3" s="2">
        <v>2162</v>
      </c>
      <c r="ET3" s="2">
        <v>2163</v>
      </c>
      <c r="EU3" s="2">
        <v>2164</v>
      </c>
      <c r="EV3" s="2">
        <v>2165</v>
      </c>
      <c r="EW3" s="2">
        <v>2166</v>
      </c>
      <c r="EX3" s="2">
        <v>2167</v>
      </c>
      <c r="EY3" s="2">
        <v>2168</v>
      </c>
      <c r="EZ3" s="2">
        <v>2169</v>
      </c>
      <c r="FA3" s="2">
        <v>2170</v>
      </c>
      <c r="FB3" s="2">
        <v>2171</v>
      </c>
      <c r="FC3" s="2">
        <v>2172</v>
      </c>
      <c r="FD3" s="2">
        <v>2173</v>
      </c>
      <c r="FE3" s="2">
        <v>2174</v>
      </c>
      <c r="FF3" s="2">
        <v>2175</v>
      </c>
      <c r="FG3" s="2">
        <v>2176</v>
      </c>
      <c r="FH3" s="2">
        <v>2177</v>
      </c>
      <c r="FI3" s="2">
        <v>2178</v>
      </c>
      <c r="FJ3" s="2">
        <v>2179</v>
      </c>
      <c r="FK3" s="2">
        <v>2180</v>
      </c>
      <c r="FL3" s="2">
        <v>2181</v>
      </c>
      <c r="FM3" s="2">
        <v>2182</v>
      </c>
      <c r="FN3" s="2">
        <v>2183</v>
      </c>
      <c r="FO3" s="2">
        <v>2184</v>
      </c>
      <c r="FP3" s="2">
        <v>2185</v>
      </c>
      <c r="FQ3" s="2">
        <v>2186</v>
      </c>
      <c r="FR3" s="2">
        <v>2187</v>
      </c>
      <c r="FS3" s="2">
        <v>2188</v>
      </c>
      <c r="FT3" s="2">
        <v>2189</v>
      </c>
      <c r="FU3" s="2">
        <v>2190</v>
      </c>
      <c r="FV3" s="2">
        <v>2191</v>
      </c>
      <c r="FW3" s="2">
        <v>2192</v>
      </c>
      <c r="FX3" s="2">
        <v>2193</v>
      </c>
      <c r="FY3" s="2">
        <v>2194</v>
      </c>
      <c r="FZ3" s="2">
        <v>2195</v>
      </c>
      <c r="GA3" s="2">
        <v>2196</v>
      </c>
      <c r="GB3" s="2">
        <v>2197</v>
      </c>
      <c r="GC3" s="2">
        <v>2198</v>
      </c>
      <c r="GD3" s="2">
        <v>2199</v>
      </c>
      <c r="GE3" s="2">
        <v>2200</v>
      </c>
      <c r="GF3" s="2">
        <v>2201</v>
      </c>
      <c r="GG3" s="2">
        <v>2202</v>
      </c>
      <c r="GH3" s="2">
        <v>2203</v>
      </c>
      <c r="GI3" s="2">
        <v>2204</v>
      </c>
      <c r="GJ3" s="2">
        <v>2205</v>
      </c>
      <c r="GK3" s="2">
        <v>2206</v>
      </c>
      <c r="GL3" s="2">
        <v>2207</v>
      </c>
      <c r="GM3" s="2">
        <v>2208</v>
      </c>
      <c r="GN3" s="2">
        <v>2209</v>
      </c>
      <c r="GO3" s="2">
        <v>2210</v>
      </c>
      <c r="GP3" s="2">
        <v>2211</v>
      </c>
      <c r="GQ3" s="2">
        <v>2212</v>
      </c>
      <c r="GR3" s="2">
        <v>2213</v>
      </c>
      <c r="GS3" s="2">
        <v>2214</v>
      </c>
      <c r="GT3" s="2">
        <v>2215</v>
      </c>
      <c r="GU3" s="2">
        <v>2216</v>
      </c>
      <c r="GV3" s="2">
        <v>2217</v>
      </c>
      <c r="GW3" s="2">
        <v>2218</v>
      </c>
      <c r="GX3" s="2">
        <v>2219</v>
      </c>
      <c r="GY3" s="2">
        <v>2220</v>
      </c>
      <c r="GZ3" s="2">
        <v>2221</v>
      </c>
      <c r="HA3" s="2">
        <v>2222</v>
      </c>
      <c r="HB3" s="2">
        <v>2223</v>
      </c>
      <c r="HC3" s="2">
        <v>2224</v>
      </c>
      <c r="HD3" s="2">
        <v>2225</v>
      </c>
      <c r="HE3" s="2">
        <v>2226</v>
      </c>
      <c r="HF3" s="2">
        <v>2227</v>
      </c>
      <c r="HG3" s="2">
        <v>2228</v>
      </c>
      <c r="HH3" s="2">
        <v>2229</v>
      </c>
      <c r="HI3" s="2">
        <v>2230</v>
      </c>
      <c r="HJ3" s="2">
        <v>2231</v>
      </c>
      <c r="HK3" s="2">
        <v>2232</v>
      </c>
      <c r="HL3" s="2">
        <v>2233</v>
      </c>
      <c r="HM3" s="2">
        <v>2234</v>
      </c>
      <c r="HN3" s="2">
        <v>2235</v>
      </c>
      <c r="HO3" s="2">
        <v>2236</v>
      </c>
      <c r="HP3" s="2">
        <v>2237</v>
      </c>
      <c r="HQ3" s="2">
        <v>2238</v>
      </c>
      <c r="HR3" s="2">
        <v>2239</v>
      </c>
      <c r="HS3" s="2">
        <v>2240</v>
      </c>
      <c r="HT3" s="2">
        <v>2241</v>
      </c>
      <c r="HU3" s="2">
        <v>2242</v>
      </c>
      <c r="HV3" s="2">
        <v>2243</v>
      </c>
      <c r="HW3" s="2">
        <v>2244</v>
      </c>
      <c r="HX3" s="2">
        <v>2245</v>
      </c>
      <c r="HY3" s="2">
        <v>2246</v>
      </c>
      <c r="HZ3" s="2">
        <v>2247</v>
      </c>
      <c r="IA3" s="2">
        <v>2248</v>
      </c>
      <c r="IB3" s="2">
        <v>2249</v>
      </c>
      <c r="IC3" s="2">
        <v>2250</v>
      </c>
      <c r="ID3" s="2">
        <v>2251</v>
      </c>
      <c r="IE3" s="2">
        <v>2252</v>
      </c>
      <c r="IF3" s="2">
        <v>2253</v>
      </c>
      <c r="IG3" s="2">
        <v>2254</v>
      </c>
      <c r="IH3" s="2">
        <v>2255</v>
      </c>
    </row>
    <row r="4" spans="2:242">
      <c r="B4" s="13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2:242">
      <c r="B5" s="14" t="s">
        <v>4</v>
      </c>
      <c r="C5" s="8">
        <v>4718.8999999999996</v>
      </c>
      <c r="D5" s="8">
        <v>6424.4</v>
      </c>
      <c r="E5" s="8">
        <v>8259.1</v>
      </c>
      <c r="F5" s="8">
        <v>8996.2000000000007</v>
      </c>
      <c r="G5" s="8">
        <v>10316.6</v>
      </c>
      <c r="H5" s="8">
        <v>13652.8</v>
      </c>
      <c r="I5" s="8">
        <v>15430.3</v>
      </c>
      <c r="J5" s="8">
        <v>21938.6</v>
      </c>
      <c r="K5" s="8">
        <v>21768.7</v>
      </c>
      <c r="L5" s="8">
        <f>K5*1.22</f>
        <v>26557.814000000002</v>
      </c>
      <c r="M5" s="8">
        <f t="shared" ref="M5:Q5" si="0">L5*1.22</f>
        <v>32400.533080000001</v>
      </c>
      <c r="N5" s="8">
        <f t="shared" si="0"/>
        <v>39528.650357600003</v>
      </c>
      <c r="O5" s="8">
        <f t="shared" si="0"/>
        <v>48224.953436272001</v>
      </c>
      <c r="P5" s="8">
        <f t="shared" si="0"/>
        <v>58834.443192251842</v>
      </c>
      <c r="Q5" s="8">
        <f t="shared" si="0"/>
        <v>71778.020694547246</v>
      </c>
      <c r="R5" s="8">
        <f t="shared" ref="R5:V5" si="1">Q5*1.22</f>
        <v>87569.185247347632</v>
      </c>
      <c r="S5" s="8">
        <f t="shared" si="1"/>
        <v>106834.4060017641</v>
      </c>
      <c r="T5" s="8">
        <f t="shared" si="1"/>
        <v>130337.9753221522</v>
      </c>
      <c r="U5" s="8">
        <f t="shared" si="1"/>
        <v>159012.32989302569</v>
      </c>
      <c r="V5" s="8">
        <f t="shared" si="1"/>
        <v>193995.04246949134</v>
      </c>
    </row>
    <row r="6" spans="2:242">
      <c r="B6" s="14" t="s">
        <v>5</v>
      </c>
      <c r="C6" s="8">
        <v>2156.1999999999998</v>
      </c>
      <c r="D6" s="8">
        <v>2538.3000000000002</v>
      </c>
      <c r="E6" s="8">
        <v>2684.9</v>
      </c>
      <c r="F6" s="8">
        <v>2823.8</v>
      </c>
      <c r="G6" s="8">
        <v>3661.9</v>
      </c>
      <c r="H6" s="8">
        <v>4958.2</v>
      </c>
      <c r="I6" s="8">
        <v>5743.1</v>
      </c>
      <c r="J6" s="8">
        <v>5619.9</v>
      </c>
      <c r="K6" s="8">
        <v>6494.2</v>
      </c>
      <c r="L6" s="8">
        <f>K6*1.155</f>
        <v>7500.8010000000004</v>
      </c>
      <c r="M6" s="8">
        <f t="shared" ref="M6:Q6" si="2">L6*1.155</f>
        <v>8663.4251550000008</v>
      </c>
      <c r="N6" s="8">
        <f t="shared" si="2"/>
        <v>10006.256054025002</v>
      </c>
      <c r="O6" s="8">
        <f t="shared" si="2"/>
        <v>11557.225742398878</v>
      </c>
      <c r="P6" s="8">
        <f t="shared" si="2"/>
        <v>13348.595732470703</v>
      </c>
      <c r="Q6" s="8">
        <f t="shared" si="2"/>
        <v>15417.628071003663</v>
      </c>
      <c r="R6" s="8">
        <f t="shared" ref="R6:V6" si="3">Q6*1.155</f>
        <v>17807.360422009231</v>
      </c>
      <c r="S6" s="8">
        <f t="shared" si="3"/>
        <v>20567.501287420662</v>
      </c>
      <c r="T6" s="8">
        <f t="shared" si="3"/>
        <v>23755.463986970866</v>
      </c>
      <c r="U6" s="8">
        <f t="shared" si="3"/>
        <v>27437.560904951351</v>
      </c>
      <c r="V6" s="8">
        <f t="shared" si="3"/>
        <v>31690.38284521881</v>
      </c>
    </row>
    <row r="7" spans="2:242">
      <c r="B7" s="10" t="s">
        <v>6</v>
      </c>
      <c r="C7" s="11">
        <f t="shared" ref="C7" si="4">SUM(C5:C6)</f>
        <v>6875.0999999999995</v>
      </c>
      <c r="D7" s="11">
        <f t="shared" ref="D7" si="5">SUM(D5:D6)</f>
        <v>8962.7000000000007</v>
      </c>
      <c r="E7" s="11">
        <f t="shared" ref="E7" si="6">SUM(E5:E6)</f>
        <v>10944</v>
      </c>
      <c r="F7" s="11">
        <f t="shared" ref="F7" si="7">SUM(F5:F6)</f>
        <v>11820</v>
      </c>
      <c r="G7" s="11">
        <f t="shared" ref="G7" si="8">SUM(G5:G6)</f>
        <v>13978.5</v>
      </c>
      <c r="H7" s="11">
        <f t="shared" ref="H7" si="9">SUM(H5:H6)</f>
        <v>18611</v>
      </c>
      <c r="I7" s="11">
        <f>SUM(I5:I6)</f>
        <v>21173.4</v>
      </c>
      <c r="J7" s="11">
        <f>SUM(J5:J6)</f>
        <v>27558.5</v>
      </c>
      <c r="K7" s="11">
        <f t="shared" ref="K7:L7" si="10">SUM(K5:K6)</f>
        <v>28262.9</v>
      </c>
      <c r="L7" s="11">
        <f t="shared" si="10"/>
        <v>34058.615000000005</v>
      </c>
      <c r="M7" s="11">
        <f t="shared" ref="M7" si="11">SUM(M5:M6)</f>
        <v>41063.958234999998</v>
      </c>
      <c r="N7" s="11">
        <f t="shared" ref="N7" si="12">SUM(N5:N6)</f>
        <v>49534.906411625008</v>
      </c>
      <c r="O7" s="11">
        <f t="shared" ref="O7" si="13">SUM(O5:O6)</f>
        <v>59782.179178670878</v>
      </c>
      <c r="P7" s="11">
        <f t="shared" ref="P7" si="14">SUM(P5:P6)</f>
        <v>72183.038924722539</v>
      </c>
      <c r="Q7" s="11">
        <f t="shared" ref="Q7" si="15">SUM(Q5:Q6)</f>
        <v>87195.648765550912</v>
      </c>
      <c r="R7" s="11">
        <f t="shared" ref="R7" si="16">SUM(R5:R6)</f>
        <v>105376.54566935686</v>
      </c>
      <c r="S7" s="11">
        <f t="shared" ref="S7" si="17">SUM(S5:S6)</f>
        <v>127401.90728918476</v>
      </c>
      <c r="T7" s="11">
        <f t="shared" ref="T7" si="18">SUM(T5:T6)</f>
        <v>154093.43930912306</v>
      </c>
      <c r="U7" s="11">
        <f t="shared" ref="U7" si="19">SUM(U5:U6)</f>
        <v>186449.89079797704</v>
      </c>
      <c r="V7" s="11">
        <f t="shared" ref="V7" si="20">SUM(V5:V6)</f>
        <v>225685.42531471016</v>
      </c>
    </row>
    <row r="8" spans="2:242">
      <c r="B8" s="10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42">
      <c r="B9" s="14" t="s">
        <v>8</v>
      </c>
      <c r="C9" s="8">
        <v>-2423.9</v>
      </c>
      <c r="D9" s="8">
        <v>-3439.9</v>
      </c>
      <c r="E9" s="8">
        <v>-4141.2</v>
      </c>
      <c r="F9" s="8">
        <v>-4676.2</v>
      </c>
      <c r="G9" s="8">
        <v>-5169.3</v>
      </c>
      <c r="H9" s="8">
        <v>-6482.9</v>
      </c>
      <c r="I9" s="8">
        <v>-7582.3</v>
      </c>
      <c r="J9" s="8">
        <v>-10151</v>
      </c>
      <c r="K9" s="8">
        <v>-10406.9</v>
      </c>
      <c r="L9" s="8">
        <f>K9*1.21</f>
        <v>-12592.348999999998</v>
      </c>
      <c r="M9" s="8">
        <f t="shared" ref="M9:Q9" si="21">L9*1.21</f>
        <v>-15236.742289999998</v>
      </c>
      <c r="N9" s="8">
        <f t="shared" si="21"/>
        <v>-18436.458170899998</v>
      </c>
      <c r="O9" s="8">
        <f t="shared" si="21"/>
        <v>-22308.114386788995</v>
      </c>
      <c r="P9" s="8">
        <f t="shared" si="21"/>
        <v>-26992.818408014682</v>
      </c>
      <c r="Q9" s="8">
        <f t="shared" si="21"/>
        <v>-32661.310273697763</v>
      </c>
      <c r="R9" s="8">
        <f t="shared" ref="R9:V9" si="22">Q9*1.21</f>
        <v>-39520.185431174294</v>
      </c>
      <c r="S9" s="8">
        <f t="shared" si="22"/>
        <v>-47819.424371720896</v>
      </c>
      <c r="T9" s="8">
        <f t="shared" si="22"/>
        <v>-57861.503489782284</v>
      </c>
      <c r="U9" s="8">
        <f t="shared" si="22"/>
        <v>-70012.419222636556</v>
      </c>
      <c r="V9" s="8">
        <f t="shared" si="22"/>
        <v>-84715.027259390234</v>
      </c>
    </row>
    <row r="10" spans="2:242">
      <c r="B10" s="14" t="s">
        <v>9</v>
      </c>
      <c r="C10" s="8">
        <v>-1305.9000000000001</v>
      </c>
      <c r="D10" s="8">
        <v>-1502.6</v>
      </c>
      <c r="E10" s="8">
        <v>-1773.6</v>
      </c>
      <c r="F10" s="8">
        <v>-1864</v>
      </c>
      <c r="G10" s="8">
        <v>-2012</v>
      </c>
      <c r="H10" s="8">
        <v>-2319.1</v>
      </c>
      <c r="I10" s="8">
        <v>-2891</v>
      </c>
      <c r="J10" s="8">
        <v>-3271.4</v>
      </c>
      <c r="K10" s="8">
        <v>-3364</v>
      </c>
      <c r="L10" s="8">
        <f>K10*1.13</f>
        <v>-3801.3199999999997</v>
      </c>
      <c r="M10" s="8">
        <f t="shared" ref="M10:Q10" si="23">L10*1.13</f>
        <v>-4295.4915999999994</v>
      </c>
      <c r="N10" s="8">
        <f t="shared" si="23"/>
        <v>-4853.9055079999989</v>
      </c>
      <c r="O10" s="8">
        <f t="shared" si="23"/>
        <v>-5484.9132240399986</v>
      </c>
      <c r="P10" s="8">
        <f t="shared" si="23"/>
        <v>-6197.9519431651979</v>
      </c>
      <c r="Q10" s="8">
        <f t="shared" si="23"/>
        <v>-7003.6856957766731</v>
      </c>
      <c r="R10" s="8">
        <f t="shared" ref="R10:V10" si="24">Q10*1.13</f>
        <v>-7914.1648362276401</v>
      </c>
      <c r="S10" s="8">
        <f t="shared" si="24"/>
        <v>-8943.0062649372321</v>
      </c>
      <c r="T10" s="8">
        <f t="shared" si="24"/>
        <v>-10105.597079379071</v>
      </c>
      <c r="U10" s="8">
        <f t="shared" si="24"/>
        <v>-11419.324699698349</v>
      </c>
      <c r="V10" s="8">
        <f t="shared" si="24"/>
        <v>-12903.836910659133</v>
      </c>
    </row>
    <row r="11" spans="2:242">
      <c r="B11" s="10" t="s">
        <v>10</v>
      </c>
      <c r="C11" s="9">
        <f t="shared" ref="C11" si="25">SUM(C9:C10)</f>
        <v>-3729.8</v>
      </c>
      <c r="D11" s="9">
        <f t="shared" ref="D11" si="26">SUM(D9:D10)</f>
        <v>-4942.5</v>
      </c>
      <c r="E11" s="9">
        <f t="shared" ref="E11" si="27">SUM(E9:E10)</f>
        <v>-5914.7999999999993</v>
      </c>
      <c r="F11" s="9">
        <f t="shared" ref="F11" si="28">SUM(F9:F10)</f>
        <v>-6540.2</v>
      </c>
      <c r="G11" s="9">
        <f t="shared" ref="G11" si="29">SUM(G9:G10)</f>
        <v>-7181.3</v>
      </c>
      <c r="H11" s="9">
        <f t="shared" ref="H11" si="30">SUM(H9:H10)</f>
        <v>-8802</v>
      </c>
      <c r="I11" s="9">
        <f>SUM(I9:I10)</f>
        <v>-10473.299999999999</v>
      </c>
      <c r="J11" s="9">
        <f>SUM(J9:J10)</f>
        <v>-13422.4</v>
      </c>
      <c r="K11" s="9">
        <f t="shared" ref="K11" si="31">SUM(K9:K10)</f>
        <v>-13770.9</v>
      </c>
      <c r="L11" s="9">
        <f>SUM(L9:L10)</f>
        <v>-16393.668999999998</v>
      </c>
      <c r="M11" s="9">
        <f t="shared" ref="M11:Q11" si="32">SUM(M9:M10)</f>
        <v>-19532.233889999996</v>
      </c>
      <c r="N11" s="9">
        <f t="shared" si="32"/>
        <v>-23290.363678899997</v>
      </c>
      <c r="O11" s="9">
        <f t="shared" si="32"/>
        <v>-27793.027610828995</v>
      </c>
      <c r="P11" s="9">
        <f t="shared" si="32"/>
        <v>-33190.770351179883</v>
      </c>
      <c r="Q11" s="9">
        <f t="shared" si="32"/>
        <v>-39664.995969474439</v>
      </c>
      <c r="R11" s="9">
        <f t="shared" ref="R11" si="33">SUM(R9:R10)</f>
        <v>-47434.350267401933</v>
      </c>
      <c r="S11" s="9">
        <f t="shared" ref="S11" si="34">SUM(S9:S10)</f>
        <v>-56762.43063665813</v>
      </c>
      <c r="T11" s="9">
        <f t="shared" ref="T11" si="35">SUM(T9:T10)</f>
        <v>-67967.100569161354</v>
      </c>
      <c r="U11" s="9">
        <f t="shared" ref="U11" si="36">SUM(U9:U10)</f>
        <v>-81431.743922334907</v>
      </c>
      <c r="V11" s="9">
        <f t="shared" ref="V11" si="37">SUM(V9:V10)</f>
        <v>-97618.864170049361</v>
      </c>
    </row>
    <row r="12" spans="2:242" ht="14.7" thickBot="1">
      <c r="B12" s="15" t="s">
        <v>11</v>
      </c>
      <c r="C12" s="12">
        <f t="shared" ref="C12" si="38">C7+C11</f>
        <v>3145.2999999999993</v>
      </c>
      <c r="D12" s="12">
        <f t="shared" ref="D12" si="39">D7+D11</f>
        <v>4020.2000000000007</v>
      </c>
      <c r="E12" s="12">
        <f t="shared" ref="E12" si="40">E7+E11</f>
        <v>5029.2000000000007</v>
      </c>
      <c r="F12" s="12">
        <f t="shared" ref="F12" si="41">F7+F11</f>
        <v>5279.8</v>
      </c>
      <c r="G12" s="12">
        <f t="shared" ref="G12" si="42">G7+G11</f>
        <v>6797.2</v>
      </c>
      <c r="H12" s="12">
        <f t="shared" ref="H12" si="43">H7+H11</f>
        <v>9809</v>
      </c>
      <c r="I12" s="12">
        <f>I7+I11</f>
        <v>10700.100000000002</v>
      </c>
      <c r="J12" s="12">
        <f>J7+J11</f>
        <v>14136.1</v>
      </c>
      <c r="K12" s="12">
        <f t="shared" ref="K12" si="44">K7+K11</f>
        <v>14492.000000000002</v>
      </c>
      <c r="L12" s="12">
        <f>L7+L11</f>
        <v>17664.946000000007</v>
      </c>
      <c r="M12" s="12">
        <f t="shared" ref="M12:Q12" si="45">M7+M11</f>
        <v>21531.724345000002</v>
      </c>
      <c r="N12" s="12">
        <f t="shared" si="45"/>
        <v>26244.542732725011</v>
      </c>
      <c r="O12" s="12">
        <f t="shared" si="45"/>
        <v>31989.151567841884</v>
      </c>
      <c r="P12" s="12">
        <f t="shared" si="45"/>
        <v>38992.268573542657</v>
      </c>
      <c r="Q12" s="12">
        <f t="shared" si="45"/>
        <v>47530.652796076472</v>
      </c>
      <c r="R12" s="12">
        <f t="shared" ref="R12" si="46">R7+R11</f>
        <v>57942.195401954923</v>
      </c>
      <c r="S12" s="12">
        <f t="shared" ref="S12" si="47">S7+S11</f>
        <v>70639.476652526631</v>
      </c>
      <c r="T12" s="12">
        <f t="shared" ref="T12" si="48">T7+T11</f>
        <v>86126.338739961706</v>
      </c>
      <c r="U12" s="12">
        <f t="shared" ref="U12" si="49">U7+U11</f>
        <v>105018.14687564214</v>
      </c>
      <c r="V12" s="12">
        <f t="shared" ref="V12" si="50">V7+V11</f>
        <v>128066.56114466079</v>
      </c>
    </row>
    <row r="13" spans="2:242" ht="14.7" thickTop="1">
      <c r="B13" s="10" t="s">
        <v>32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42">
      <c r="B14" s="14" t="s">
        <v>12</v>
      </c>
      <c r="C14" s="8">
        <v>-1105.8</v>
      </c>
      <c r="D14" s="8">
        <v>-1259.7</v>
      </c>
      <c r="E14" s="8">
        <v>-1575.9</v>
      </c>
      <c r="F14" s="8">
        <v>-1968.5</v>
      </c>
      <c r="G14" s="8">
        <v>-2200.8000000000002</v>
      </c>
      <c r="H14" s="8">
        <v>-2547</v>
      </c>
      <c r="I14" s="8">
        <v>-3253.5</v>
      </c>
      <c r="J14" s="8">
        <v>-3980.6</v>
      </c>
      <c r="K14" s="8">
        <v>-4303.7</v>
      </c>
      <c r="L14" s="8">
        <f>K14*1.185</f>
        <v>-5099.8845000000001</v>
      </c>
      <c r="M14" s="8">
        <f t="shared" ref="M14:Q14" si="51">L14*1.185</f>
        <v>-6043.3631325000006</v>
      </c>
      <c r="N14" s="8">
        <f t="shared" si="51"/>
        <v>-7161.3853120125013</v>
      </c>
      <c r="O14" s="8">
        <f t="shared" si="51"/>
        <v>-8486.2415947348145</v>
      </c>
      <c r="P14" s="8">
        <f t="shared" si="51"/>
        <v>-10056.196289760755</v>
      </c>
      <c r="Q14" s="8">
        <f t="shared" si="51"/>
        <v>-11916.592603366496</v>
      </c>
      <c r="R14" s="8">
        <f t="shared" ref="R14:V14" si="52">Q14*1.185</f>
        <v>-14121.162234989299</v>
      </c>
      <c r="S14" s="8">
        <f t="shared" si="52"/>
        <v>-16733.577248462319</v>
      </c>
      <c r="T14" s="8">
        <f t="shared" si="52"/>
        <v>-19829.289039427851</v>
      </c>
      <c r="U14" s="8">
        <f t="shared" si="52"/>
        <v>-23497.707511722005</v>
      </c>
      <c r="V14" s="8">
        <f t="shared" si="52"/>
        <v>-27844.783401390578</v>
      </c>
    </row>
    <row r="15" spans="2:242">
      <c r="B15" s="14" t="s">
        <v>30</v>
      </c>
      <c r="C15" s="8">
        <v>-374.8</v>
      </c>
      <c r="D15" s="8">
        <v>-416.6</v>
      </c>
      <c r="E15" s="8">
        <v>-488</v>
      </c>
      <c r="F15" s="8">
        <v>-520.5</v>
      </c>
      <c r="G15" s="8">
        <v>-544.9</v>
      </c>
      <c r="H15" s="8">
        <v>-725.6</v>
      </c>
      <c r="I15" s="8">
        <v>-945.9</v>
      </c>
      <c r="J15" s="8">
        <v>-1113.2</v>
      </c>
      <c r="K15" s="8">
        <v>-1165.7</v>
      </c>
      <c r="L15" s="8">
        <f>K15*1.19</f>
        <v>-1387.183</v>
      </c>
      <c r="M15" s="8">
        <f t="shared" ref="M15:Q15" si="53">L15*1.19</f>
        <v>-1650.7477699999999</v>
      </c>
      <c r="N15" s="8">
        <f t="shared" si="53"/>
        <v>-1964.3898462999998</v>
      </c>
      <c r="O15" s="8">
        <f t="shared" si="53"/>
        <v>-2337.6239170969998</v>
      </c>
      <c r="P15" s="8">
        <f t="shared" si="53"/>
        <v>-2781.7724613454297</v>
      </c>
      <c r="Q15" s="8">
        <f t="shared" si="53"/>
        <v>-3310.3092290010613</v>
      </c>
      <c r="R15" s="8">
        <f t="shared" ref="R15:V15" si="54">Q15*1.19</f>
        <v>-3939.2679825112627</v>
      </c>
      <c r="S15" s="8">
        <f t="shared" si="54"/>
        <v>-4687.7288991884025</v>
      </c>
      <c r="T15" s="8">
        <f t="shared" si="54"/>
        <v>-5578.3973900341989</v>
      </c>
      <c r="U15" s="8">
        <f t="shared" si="54"/>
        <v>-6638.2928941406963</v>
      </c>
      <c r="V15" s="8">
        <f t="shared" si="54"/>
        <v>-7899.5685440274283</v>
      </c>
    </row>
    <row r="16" spans="2:242">
      <c r="B16" s="14" t="s">
        <v>13</v>
      </c>
      <c r="C16" s="8">
        <v>93.8</v>
      </c>
      <c r="D16" s="8">
        <v>95.8</v>
      </c>
      <c r="E16" s="8">
        <v>0</v>
      </c>
      <c r="F16" s="8">
        <v>0</v>
      </c>
      <c r="G16" s="8">
        <v>0</v>
      </c>
      <c r="H16" s="8">
        <v>213.7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</row>
    <row r="17" spans="2:242">
      <c r="B17" s="10" t="s">
        <v>31</v>
      </c>
      <c r="C17" s="11">
        <f>SUM(C14:C16)</f>
        <v>-1386.8</v>
      </c>
      <c r="D17" s="11">
        <f>SUM(D14:D16)</f>
        <v>-1580.5000000000002</v>
      </c>
      <c r="E17" s="11">
        <f t="shared" ref="E17" si="55">SUM(E14:E16)</f>
        <v>-2063.9</v>
      </c>
      <c r="F17" s="11">
        <f>SUM(F14:F16)</f>
        <v>-2489</v>
      </c>
      <c r="G17" s="11">
        <f>SUM(G14:G16)</f>
        <v>-2745.7000000000003</v>
      </c>
      <c r="H17" s="11">
        <f t="shared" ref="H17:L17" si="56">SUM(H14:H16)</f>
        <v>-3058.9</v>
      </c>
      <c r="I17" s="11">
        <f t="shared" si="56"/>
        <v>-4199.3999999999996</v>
      </c>
      <c r="J17" s="11">
        <f t="shared" si="56"/>
        <v>-5093.8</v>
      </c>
      <c r="K17" s="11">
        <f t="shared" si="56"/>
        <v>-5469.4</v>
      </c>
      <c r="L17" s="11">
        <f t="shared" si="56"/>
        <v>-6487.0675000000001</v>
      </c>
      <c r="M17" s="11">
        <f t="shared" ref="M17" si="57">SUM(M14:M16)</f>
        <v>-7694.1109025000005</v>
      </c>
      <c r="N17" s="11">
        <f t="shared" ref="N17" si="58">SUM(N14:N16)</f>
        <v>-9125.7751583125009</v>
      </c>
      <c r="O17" s="11">
        <f t="shared" ref="O17" si="59">SUM(O14:O16)</f>
        <v>-10823.865511831815</v>
      </c>
      <c r="P17" s="11">
        <f t="shared" ref="P17" si="60">SUM(P14:P16)</f>
        <v>-12837.968751106186</v>
      </c>
      <c r="Q17" s="11">
        <f t="shared" ref="Q17" si="61">SUM(Q14:Q16)</f>
        <v>-15226.901832367557</v>
      </c>
      <c r="R17" s="11">
        <f t="shared" ref="R17" si="62">SUM(R14:R16)</f>
        <v>-18060.430217500561</v>
      </c>
      <c r="S17" s="11">
        <f t="shared" ref="S17" si="63">SUM(S14:S16)</f>
        <v>-21421.306147650721</v>
      </c>
      <c r="T17" s="11">
        <f t="shared" ref="T17" si="64">SUM(T14:T16)</f>
        <v>-25407.68642946205</v>
      </c>
      <c r="U17" s="11">
        <f t="shared" ref="U17" si="65">SUM(U14:U16)</f>
        <v>-30136.000405862702</v>
      </c>
      <c r="V17" s="11">
        <f t="shared" ref="V17" si="66">SUM(V14:V16)</f>
        <v>-35744.351945418006</v>
      </c>
    </row>
    <row r="18" spans="2:242" ht="14.7" thickBot="1">
      <c r="B18" s="15" t="s">
        <v>20</v>
      </c>
      <c r="C18" s="12">
        <f t="shared" ref="C18" si="67">C12+C17</f>
        <v>1758.4999999999993</v>
      </c>
      <c r="D18" s="12">
        <f t="shared" ref="D18" si="68">D12+D17</f>
        <v>2439.7000000000007</v>
      </c>
      <c r="E18" s="12">
        <f t="shared" ref="E18" si="69">E12+E17</f>
        <v>2965.3000000000006</v>
      </c>
      <c r="F18" s="12">
        <f t="shared" ref="F18" si="70">F12+F17</f>
        <v>2790.8</v>
      </c>
      <c r="G18" s="12">
        <f t="shared" ref="G18" si="71">G12+G17</f>
        <v>4051.4999999999995</v>
      </c>
      <c r="H18" s="12">
        <f t="shared" ref="H18" si="72">H12+H17</f>
        <v>6750.1</v>
      </c>
      <c r="I18" s="12">
        <f>I12+I17</f>
        <v>6500.7000000000025</v>
      </c>
      <c r="J18" s="12">
        <f>J12+J17</f>
        <v>9042.2999999999993</v>
      </c>
      <c r="K18" s="12">
        <f t="shared" ref="K18:L18" si="73">K12+K17</f>
        <v>9022.6000000000022</v>
      </c>
      <c r="L18" s="12">
        <f t="shared" si="73"/>
        <v>11177.878500000006</v>
      </c>
      <c r="M18" s="12">
        <f t="shared" ref="M18" si="74">M12+M17</f>
        <v>13837.613442500002</v>
      </c>
      <c r="N18" s="12">
        <f t="shared" ref="N18" si="75">N12+N17</f>
        <v>17118.767574412508</v>
      </c>
      <c r="O18" s="12">
        <f t="shared" ref="O18" si="76">O12+O17</f>
        <v>21165.286056010067</v>
      </c>
      <c r="P18" s="12">
        <f t="shared" ref="P18" si="77">P12+P17</f>
        <v>26154.299822436471</v>
      </c>
      <c r="Q18" s="12">
        <f t="shared" ref="Q18" si="78">Q12+Q17</f>
        <v>32303.750963708917</v>
      </c>
      <c r="R18" s="12">
        <f t="shared" ref="R18" si="79">R12+R17</f>
        <v>39881.765184454358</v>
      </c>
      <c r="S18" s="12">
        <f t="shared" ref="S18" si="80">S12+S17</f>
        <v>49218.17050487591</v>
      </c>
      <c r="T18" s="12">
        <f t="shared" ref="T18" si="81">T12+T17</f>
        <v>60718.65231049966</v>
      </c>
      <c r="U18" s="12">
        <f t="shared" ref="U18" si="82">U12+U17</f>
        <v>74882.146469779429</v>
      </c>
      <c r="V18" s="12">
        <f t="shared" ref="V18" si="83">V12+V17</f>
        <v>92322.209199242789</v>
      </c>
    </row>
    <row r="19" spans="2:242" ht="14.7" thickTop="1">
      <c r="B19" s="14" t="s">
        <v>14</v>
      </c>
      <c r="C19" s="8">
        <v>33.700000000000003</v>
      </c>
      <c r="D19" s="8">
        <v>-50.3</v>
      </c>
      <c r="E19" s="8">
        <v>-28.3</v>
      </c>
      <c r="F19" s="8">
        <v>-25</v>
      </c>
      <c r="G19" s="8">
        <v>-34.9</v>
      </c>
      <c r="H19" s="8">
        <v>-44.6</v>
      </c>
      <c r="I19" s="8">
        <v>-44.6</v>
      </c>
      <c r="J19" s="8">
        <v>41.2</v>
      </c>
      <c r="K19" s="8">
        <v>19.8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2:242">
      <c r="B20" s="15" t="s">
        <v>35</v>
      </c>
      <c r="C20" s="11">
        <f t="shared" ref="C20" si="84">SUM(C18:C19)</f>
        <v>1792.1999999999994</v>
      </c>
      <c r="D20" s="11">
        <f t="shared" ref="D20" si="85">SUM(D18:D19)</f>
        <v>2389.4000000000005</v>
      </c>
      <c r="E20" s="11">
        <f t="shared" ref="E20" si="86">SUM(E18:E19)</f>
        <v>2937.0000000000005</v>
      </c>
      <c r="F20" s="11">
        <f t="shared" ref="F20" si="87">SUM(F18:F19)</f>
        <v>2765.8</v>
      </c>
      <c r="G20" s="11">
        <f t="shared" ref="G20" si="88">SUM(G18:G19)</f>
        <v>4016.5999999999995</v>
      </c>
      <c r="H20" s="11">
        <f t="shared" ref="H20" si="89">SUM(H18:H19)</f>
        <v>6705.5</v>
      </c>
      <c r="I20" s="11">
        <f>SUM(I18:I19)</f>
        <v>6456.1000000000022</v>
      </c>
      <c r="J20" s="11">
        <f>SUM(J18:J19)</f>
        <v>9083.5</v>
      </c>
      <c r="K20" s="11">
        <f t="shared" ref="K20:L20" si="90">SUM(K18:K19)</f>
        <v>9042.4000000000015</v>
      </c>
      <c r="L20" s="11">
        <f t="shared" si="90"/>
        <v>11177.878500000006</v>
      </c>
      <c r="M20" s="11">
        <f t="shared" ref="M20" si="91">SUM(M18:M19)</f>
        <v>13837.613442500002</v>
      </c>
      <c r="N20" s="11">
        <f t="shared" ref="N20" si="92">SUM(N18:N19)</f>
        <v>17118.767574412508</v>
      </c>
      <c r="O20" s="11">
        <f t="shared" ref="O20" si="93">SUM(O18:O19)</f>
        <v>21165.286056010067</v>
      </c>
      <c r="P20" s="11">
        <f t="shared" ref="P20" si="94">SUM(P18:P19)</f>
        <v>26154.299822436471</v>
      </c>
      <c r="Q20" s="11">
        <f t="shared" ref="Q20" si="95">SUM(Q18:Q19)</f>
        <v>32303.750963708917</v>
      </c>
      <c r="R20" s="11">
        <f t="shared" ref="R20" si="96">SUM(R18:R19)</f>
        <v>39881.765184454358</v>
      </c>
      <c r="S20" s="11">
        <f t="shared" ref="S20" si="97">SUM(S18:S19)</f>
        <v>49218.17050487591</v>
      </c>
      <c r="T20" s="11">
        <f t="shared" ref="T20" si="98">SUM(T18:T19)</f>
        <v>60718.65231049966</v>
      </c>
      <c r="U20" s="11">
        <f t="shared" ref="U20" si="99">SUM(U18:U19)</f>
        <v>74882.146469779429</v>
      </c>
      <c r="V20" s="11">
        <f t="shared" ref="V20" si="100">SUM(V18:V19)</f>
        <v>92322.209199242789</v>
      </c>
    </row>
    <row r="21" spans="2:242">
      <c r="B21" s="14" t="s">
        <v>15</v>
      </c>
      <c r="C21" s="8">
        <v>-234.4</v>
      </c>
      <c r="D21" s="8">
        <v>-306</v>
      </c>
      <c r="E21" s="8">
        <v>-351.6</v>
      </c>
      <c r="F21" s="8">
        <v>-191.7</v>
      </c>
      <c r="G21" s="8">
        <v>-551.5</v>
      </c>
      <c r="H21" s="8">
        <v>-1021.4</v>
      </c>
      <c r="I21" s="8">
        <v>-969.9</v>
      </c>
      <c r="J21" s="8">
        <v>-1435.8</v>
      </c>
      <c r="K21" s="8">
        <v>-1680.6</v>
      </c>
      <c r="L21" s="8">
        <f>L20*-0.15</f>
        <v>-1676.6817750000009</v>
      </c>
      <c r="M21" s="8">
        <f t="shared" ref="M21:Q21" si="101">M20*-0.15</f>
        <v>-2075.6420163750004</v>
      </c>
      <c r="N21" s="8">
        <f t="shared" si="101"/>
        <v>-2567.8151361618761</v>
      </c>
      <c r="O21" s="8">
        <f t="shared" si="101"/>
        <v>-3174.79290840151</v>
      </c>
      <c r="P21" s="8">
        <f t="shared" si="101"/>
        <v>-3923.1449733654704</v>
      </c>
      <c r="Q21" s="8">
        <f t="shared" si="101"/>
        <v>-4845.5626445563375</v>
      </c>
      <c r="R21" s="8">
        <f t="shared" ref="R21" si="102">R20*-0.15</f>
        <v>-5982.2647776681533</v>
      </c>
      <c r="S21" s="8">
        <f t="shared" ref="S21" si="103">S20*-0.15</f>
        <v>-7382.725575731386</v>
      </c>
      <c r="T21" s="8">
        <f t="shared" ref="T21" si="104">T20*-0.15</f>
        <v>-9107.7978465749493</v>
      </c>
      <c r="U21" s="8">
        <f t="shared" ref="U21" si="105">U20*-0.15</f>
        <v>-11232.321970466914</v>
      </c>
      <c r="V21" s="8">
        <f t="shared" ref="V21" si="106">V20*-0.15</f>
        <v>-13848.331379886418</v>
      </c>
    </row>
    <row r="22" spans="2:242">
      <c r="B22" s="15" t="s">
        <v>34</v>
      </c>
      <c r="C22" s="11">
        <f t="shared" ref="C22" si="107">SUM(C20:C21)</f>
        <v>1557.7999999999993</v>
      </c>
      <c r="D22" s="11">
        <f t="shared" ref="D22" si="108">SUM(D20:D21)</f>
        <v>2083.4000000000005</v>
      </c>
      <c r="E22" s="11">
        <f t="shared" ref="E22" si="109">SUM(E20:E21)</f>
        <v>2585.4000000000005</v>
      </c>
      <c r="F22" s="11">
        <f t="shared" ref="F22" si="110">SUM(F20:F21)</f>
        <v>2574.1000000000004</v>
      </c>
      <c r="G22" s="11">
        <f t="shared" ref="G22" si="111">SUM(G20:G21)</f>
        <v>3465.0999999999995</v>
      </c>
      <c r="H22" s="11">
        <f t="shared" ref="H22" si="112">SUM(H20:H21)</f>
        <v>5684.1</v>
      </c>
      <c r="I22" s="11">
        <f>SUM(I20:I21)</f>
        <v>5486.2000000000025</v>
      </c>
      <c r="J22" s="11">
        <f>SUM(J20:J21)</f>
        <v>7647.7</v>
      </c>
      <c r="K22" s="11">
        <f t="shared" ref="K22:L22" si="113">SUM(K20:K21)</f>
        <v>7361.8000000000011</v>
      </c>
      <c r="L22" s="11">
        <f t="shared" si="113"/>
        <v>9501.1967250000052</v>
      </c>
      <c r="M22" s="11">
        <f t="shared" ref="M22" si="114">SUM(M20:M21)</f>
        <v>11761.971426125001</v>
      </c>
      <c r="N22" s="11">
        <f t="shared" ref="N22" si="115">SUM(N20:N21)</f>
        <v>14550.952438250632</v>
      </c>
      <c r="O22" s="11">
        <f t="shared" ref="O22" si="116">SUM(O20:O21)</f>
        <v>17990.493147608559</v>
      </c>
      <c r="P22" s="11">
        <f t="shared" ref="P22" si="117">SUM(P20:P21)</f>
        <v>22231.154849071001</v>
      </c>
      <c r="Q22" s="11">
        <f t="shared" ref="Q22" si="118">SUM(Q20:Q21)</f>
        <v>27458.188319152578</v>
      </c>
      <c r="R22" s="11">
        <f t="shared" ref="R22" si="119">SUM(R20:R21)</f>
        <v>33899.500406786203</v>
      </c>
      <c r="S22" s="11">
        <f t="shared" ref="S22" si="120">SUM(S20:S21)</f>
        <v>41835.444929144527</v>
      </c>
      <c r="T22" s="11">
        <f t="shared" ref="T22" si="121">SUM(T20:T21)</f>
        <v>51610.854463924712</v>
      </c>
      <c r="U22" s="11">
        <f t="shared" ref="U22" si="122">SUM(U20:U21)</f>
        <v>63649.824499312512</v>
      </c>
      <c r="V22" s="11">
        <f t="shared" ref="V22" si="123">SUM(V20:V21)</f>
        <v>78473.877819356363</v>
      </c>
    </row>
    <row r="23" spans="2:242">
      <c r="B23" s="14" t="s">
        <v>33</v>
      </c>
      <c r="C23" s="8">
        <v>0</v>
      </c>
      <c r="D23" s="8">
        <v>-16.7</v>
      </c>
      <c r="E23" s="8">
        <v>6.2</v>
      </c>
      <c r="F23" s="8">
        <v>18.2</v>
      </c>
      <c r="G23" s="8">
        <v>88.6</v>
      </c>
      <c r="H23" s="8">
        <v>199.1</v>
      </c>
      <c r="I23" s="8">
        <v>138</v>
      </c>
      <c r="J23" s="8">
        <v>191.3</v>
      </c>
      <c r="K23" s="8">
        <v>209.8</v>
      </c>
      <c r="L23" s="8">
        <f>K23*1.03</f>
        <v>216.09400000000002</v>
      </c>
      <c r="M23" s="8">
        <f t="shared" ref="M23:Q23" si="124">L23*1.03</f>
        <v>222.57682000000003</v>
      </c>
      <c r="N23" s="8">
        <f t="shared" si="124"/>
        <v>229.25412460000004</v>
      </c>
      <c r="O23" s="8">
        <f t="shared" si="124"/>
        <v>236.13174833800005</v>
      </c>
      <c r="P23" s="8">
        <f t="shared" si="124"/>
        <v>243.21570078814005</v>
      </c>
      <c r="Q23" s="8">
        <f t="shared" si="124"/>
        <v>250.51217181178427</v>
      </c>
      <c r="R23" s="8">
        <f t="shared" ref="R23:V23" si="125">Q23*1.03</f>
        <v>258.0275369661378</v>
      </c>
      <c r="S23" s="8">
        <f t="shared" si="125"/>
        <v>265.76836307512195</v>
      </c>
      <c r="T23" s="8">
        <f t="shared" si="125"/>
        <v>273.74141396737559</v>
      </c>
      <c r="U23" s="8">
        <f t="shared" si="125"/>
        <v>281.95365638639686</v>
      </c>
      <c r="V23" s="8">
        <f t="shared" si="125"/>
        <v>290.41226607798876</v>
      </c>
    </row>
    <row r="24" spans="2:242">
      <c r="B24" s="16" t="s">
        <v>16</v>
      </c>
      <c r="C24" s="9">
        <f t="shared" ref="C24" si="126">SUM(C22:C23)</f>
        <v>1557.7999999999993</v>
      </c>
      <c r="D24" s="9">
        <f t="shared" ref="D24" si="127">SUM(D22:D23)</f>
        <v>2066.7000000000007</v>
      </c>
      <c r="E24" s="9">
        <f>SUM(E22:E23)</f>
        <v>2591.6000000000004</v>
      </c>
      <c r="F24" s="9">
        <f t="shared" ref="F24" si="128">SUM(F22:F23)</f>
        <v>2592.3000000000002</v>
      </c>
      <c r="G24" s="9">
        <f t="shared" ref="G24" si="129">SUM(G22:G23)</f>
        <v>3553.6999999999994</v>
      </c>
      <c r="H24" s="9">
        <f>SUM(H22:H23)</f>
        <v>5883.2000000000007</v>
      </c>
      <c r="I24" s="9">
        <f>SUM(I22:I23)</f>
        <v>5624.2000000000025</v>
      </c>
      <c r="J24" s="9">
        <f>SUM(J22:J23)</f>
        <v>7839</v>
      </c>
      <c r="K24" s="9">
        <f t="shared" ref="K24:L24" si="130">SUM(K22:K23)</f>
        <v>7571.6000000000013</v>
      </c>
      <c r="L24" s="9">
        <f t="shared" si="130"/>
        <v>9717.2907250000044</v>
      </c>
      <c r="M24" s="9">
        <f t="shared" ref="M24" si="131">SUM(M22:M23)</f>
        <v>11984.548246125001</v>
      </c>
      <c r="N24" s="9">
        <f t="shared" ref="N24" si="132">SUM(N22:N23)</f>
        <v>14780.206562850632</v>
      </c>
      <c r="O24" s="9">
        <f t="shared" ref="O24" si="133">SUM(O22:O23)</f>
        <v>18226.624895946559</v>
      </c>
      <c r="P24" s="9">
        <f t="shared" ref="P24" si="134">SUM(P22:P23)</f>
        <v>22474.370549859141</v>
      </c>
      <c r="Q24" s="9">
        <f t="shared" ref="Q24" si="135">SUM(Q22:Q23)</f>
        <v>27708.700490964362</v>
      </c>
      <c r="R24" s="9">
        <f t="shared" ref="R24" si="136">SUM(R22:R23)</f>
        <v>34157.527943752342</v>
      </c>
      <c r="S24" s="9">
        <f t="shared" ref="S24" si="137">SUM(S22:S23)</f>
        <v>42101.213292219647</v>
      </c>
      <c r="T24" s="9">
        <f t="shared" ref="T24" si="138">SUM(T22:T23)</f>
        <v>51884.59587789209</v>
      </c>
      <c r="U24" s="9">
        <f t="shared" ref="U24" si="139">SUM(U22:U23)</f>
        <v>63931.778155698907</v>
      </c>
      <c r="V24" s="9">
        <f t="shared" ref="V24" si="140">SUM(V22:V23)</f>
        <v>78764.290085434346</v>
      </c>
      <c r="W24" s="38">
        <f t="shared" ref="W24:CH24" si="141">V24*(1+$X$29)</f>
        <v>79551.932986288695</v>
      </c>
      <c r="X24" s="38">
        <f t="shared" si="141"/>
        <v>80347.452316151583</v>
      </c>
      <c r="Y24" s="38">
        <f t="shared" si="141"/>
        <v>81150.926839313106</v>
      </c>
      <c r="Z24" s="38">
        <f t="shared" si="141"/>
        <v>81962.436107706235</v>
      </c>
      <c r="AA24" s="38">
        <f t="shared" si="141"/>
        <v>82782.060468783297</v>
      </c>
      <c r="AB24" s="38">
        <f t="shared" si="141"/>
        <v>83609.88107347113</v>
      </c>
      <c r="AC24" s="38">
        <f t="shared" si="141"/>
        <v>84445.979884205837</v>
      </c>
      <c r="AD24" s="38">
        <f t="shared" si="141"/>
        <v>85290.439683047895</v>
      </c>
      <c r="AE24" s="38">
        <f t="shared" si="141"/>
        <v>86143.34407987837</v>
      </c>
      <c r="AF24" s="38">
        <f t="shared" si="141"/>
        <v>87004.777520677162</v>
      </c>
      <c r="AG24" s="38">
        <f t="shared" si="141"/>
        <v>87874.825295883929</v>
      </c>
      <c r="AH24" s="38">
        <f t="shared" si="141"/>
        <v>88753.573548842774</v>
      </c>
      <c r="AI24" s="38">
        <f t="shared" si="141"/>
        <v>89641.109284331207</v>
      </c>
      <c r="AJ24" s="38">
        <f t="shared" si="141"/>
        <v>90537.520377174515</v>
      </c>
      <c r="AK24" s="38">
        <f t="shared" si="141"/>
        <v>91442.895580946264</v>
      </c>
      <c r="AL24" s="38">
        <f t="shared" si="141"/>
        <v>92357.324536755725</v>
      </c>
      <c r="AM24" s="38">
        <f t="shared" si="141"/>
        <v>93280.897782123284</v>
      </c>
      <c r="AN24" s="38">
        <f t="shared" si="141"/>
        <v>94213.706759944514</v>
      </c>
      <c r="AO24" s="38">
        <f t="shared" si="141"/>
        <v>95155.843827543955</v>
      </c>
      <c r="AP24" s="38">
        <f t="shared" si="141"/>
        <v>96107.402265819401</v>
      </c>
      <c r="AQ24" s="38">
        <f t="shared" si="141"/>
        <v>97068.476288477599</v>
      </c>
      <c r="AR24" s="38">
        <f t="shared" si="141"/>
        <v>98039.161051362375</v>
      </c>
      <c r="AS24" s="38">
        <f t="shared" si="141"/>
        <v>99019.552661876005</v>
      </c>
      <c r="AT24" s="38">
        <f t="shared" si="141"/>
        <v>100009.74818849476</v>
      </c>
      <c r="AU24" s="38">
        <f t="shared" si="141"/>
        <v>101009.84567037971</v>
      </c>
      <c r="AV24" s="38">
        <f t="shared" si="141"/>
        <v>102019.94412708351</v>
      </c>
      <c r="AW24" s="38">
        <f t="shared" si="141"/>
        <v>103040.14356835434</v>
      </c>
      <c r="AX24" s="38">
        <f t="shared" si="141"/>
        <v>104070.54500403788</v>
      </c>
      <c r="AY24" s="38">
        <f t="shared" si="141"/>
        <v>105111.25045407825</v>
      </c>
      <c r="AZ24" s="38">
        <f t="shared" si="141"/>
        <v>106162.36295861904</v>
      </c>
      <c r="BA24" s="38">
        <f t="shared" si="141"/>
        <v>107223.98658820523</v>
      </c>
      <c r="BB24" s="38">
        <f t="shared" si="141"/>
        <v>108296.22645408729</v>
      </c>
      <c r="BC24" s="38">
        <f t="shared" si="141"/>
        <v>109379.18871862815</v>
      </c>
      <c r="BD24" s="38">
        <f t="shared" si="141"/>
        <v>110472.98060581443</v>
      </c>
      <c r="BE24" s="38">
        <f t="shared" si="141"/>
        <v>111577.71041187258</v>
      </c>
      <c r="BF24" s="38">
        <f t="shared" si="141"/>
        <v>112693.48751599131</v>
      </c>
      <c r="BG24" s="38">
        <f t="shared" si="141"/>
        <v>113820.42239115122</v>
      </c>
      <c r="BH24" s="38">
        <f t="shared" si="141"/>
        <v>114958.62661506273</v>
      </c>
      <c r="BI24" s="38">
        <f t="shared" si="141"/>
        <v>116108.21288121336</v>
      </c>
      <c r="BJ24" s="38">
        <f t="shared" si="141"/>
        <v>117269.2950100255</v>
      </c>
      <c r="BK24" s="38">
        <f t="shared" si="141"/>
        <v>118441.98796012576</v>
      </c>
      <c r="BL24" s="38">
        <f t="shared" si="141"/>
        <v>119626.40783972702</v>
      </c>
      <c r="BM24" s="38">
        <f t="shared" si="141"/>
        <v>120822.6719181243</v>
      </c>
      <c r="BN24" s="38">
        <f t="shared" si="141"/>
        <v>122030.89863730554</v>
      </c>
      <c r="BO24" s="38">
        <f t="shared" si="141"/>
        <v>123251.20762367859</v>
      </c>
      <c r="BP24" s="38">
        <f t="shared" si="141"/>
        <v>124483.71969991538</v>
      </c>
      <c r="BQ24" s="38">
        <f t="shared" si="141"/>
        <v>125728.55689691454</v>
      </c>
      <c r="BR24" s="38">
        <f t="shared" si="141"/>
        <v>126985.84246588369</v>
      </c>
      <c r="BS24" s="38">
        <f t="shared" si="141"/>
        <v>128255.70089054253</v>
      </c>
      <c r="BT24" s="38">
        <f t="shared" si="141"/>
        <v>129538.25789944796</v>
      </c>
      <c r="BU24" s="38">
        <f t="shared" si="141"/>
        <v>130833.64047844244</v>
      </c>
      <c r="BV24" s="38">
        <f t="shared" si="141"/>
        <v>132141.97688322686</v>
      </c>
      <c r="BW24" s="38">
        <f t="shared" si="141"/>
        <v>133463.39665205913</v>
      </c>
      <c r="BX24" s="38">
        <f t="shared" si="141"/>
        <v>134798.03061857974</v>
      </c>
      <c r="BY24" s="38">
        <f t="shared" si="141"/>
        <v>136146.01092476555</v>
      </c>
      <c r="BZ24" s="38">
        <f t="shared" si="141"/>
        <v>137507.4710340132</v>
      </c>
      <c r="CA24" s="38">
        <f t="shared" si="141"/>
        <v>138882.54574435332</v>
      </c>
      <c r="CB24" s="38">
        <f t="shared" si="141"/>
        <v>140271.37120179686</v>
      </c>
      <c r="CC24" s="38">
        <f t="shared" si="141"/>
        <v>141674.08491381485</v>
      </c>
      <c r="CD24" s="38">
        <f t="shared" si="141"/>
        <v>143090.825762953</v>
      </c>
      <c r="CE24" s="38">
        <f t="shared" si="141"/>
        <v>144521.73402058252</v>
      </c>
      <c r="CF24" s="38">
        <f t="shared" si="141"/>
        <v>145966.95136078834</v>
      </c>
      <c r="CG24" s="38">
        <f t="shared" si="141"/>
        <v>147426.62087439623</v>
      </c>
      <c r="CH24" s="38">
        <f t="shared" si="141"/>
        <v>148900.8870831402</v>
      </c>
      <c r="CI24" s="38">
        <f t="shared" ref="CI24:ET24" si="142">CH24*(1+$X$29)</f>
        <v>150389.8959539716</v>
      </c>
      <c r="CJ24" s="38">
        <f t="shared" si="142"/>
        <v>151893.79491351132</v>
      </c>
      <c r="CK24" s="38">
        <f t="shared" si="142"/>
        <v>153412.73286264643</v>
      </c>
      <c r="CL24" s="38">
        <f t="shared" si="142"/>
        <v>154946.86019127289</v>
      </c>
      <c r="CM24" s="38">
        <f t="shared" si="142"/>
        <v>156496.32879318562</v>
      </c>
      <c r="CN24" s="38">
        <f t="shared" si="142"/>
        <v>158061.29208111748</v>
      </c>
      <c r="CO24" s="38">
        <f t="shared" si="142"/>
        <v>159641.90500192865</v>
      </c>
      <c r="CP24" s="38">
        <f t="shared" si="142"/>
        <v>161238.32405194794</v>
      </c>
      <c r="CQ24" s="38">
        <f t="shared" si="142"/>
        <v>162850.70729246741</v>
      </c>
      <c r="CR24" s="38">
        <f t="shared" si="142"/>
        <v>164479.21436539208</v>
      </c>
      <c r="CS24" s="38">
        <f t="shared" si="142"/>
        <v>166124.00650904601</v>
      </c>
      <c r="CT24" s="38">
        <f t="shared" si="142"/>
        <v>167785.24657413649</v>
      </c>
      <c r="CU24" s="38">
        <f t="shared" si="142"/>
        <v>169463.09903987785</v>
      </c>
      <c r="CV24" s="38">
        <f t="shared" si="142"/>
        <v>171157.73003027664</v>
      </c>
      <c r="CW24" s="38">
        <f t="shared" si="142"/>
        <v>172869.30733057941</v>
      </c>
      <c r="CX24" s="38">
        <f t="shared" si="142"/>
        <v>174598.00040388521</v>
      </c>
      <c r="CY24" s="38">
        <f t="shared" si="142"/>
        <v>176343.98040792407</v>
      </c>
      <c r="CZ24" s="38">
        <f t="shared" si="142"/>
        <v>178107.42021200332</v>
      </c>
      <c r="DA24" s="38">
        <f t="shared" si="142"/>
        <v>179888.49441412336</v>
      </c>
      <c r="DB24" s="38">
        <f t="shared" si="142"/>
        <v>181687.37935826459</v>
      </c>
      <c r="DC24" s="38">
        <f t="shared" si="142"/>
        <v>183504.25315184722</v>
      </c>
      <c r="DD24" s="38">
        <f t="shared" si="142"/>
        <v>185339.29568336569</v>
      </c>
      <c r="DE24" s="38">
        <f t="shared" si="142"/>
        <v>187192.68864019934</v>
      </c>
      <c r="DF24" s="38">
        <f t="shared" si="142"/>
        <v>189064.61552660132</v>
      </c>
      <c r="DG24" s="38">
        <f t="shared" si="142"/>
        <v>190955.26168186733</v>
      </c>
      <c r="DH24" s="38">
        <f t="shared" si="142"/>
        <v>192864.81429868599</v>
      </c>
      <c r="DI24" s="38">
        <f t="shared" si="142"/>
        <v>194793.46244167286</v>
      </c>
      <c r="DJ24" s="38">
        <f t="shared" si="142"/>
        <v>196741.39706608959</v>
      </c>
      <c r="DK24" s="38">
        <f t="shared" si="142"/>
        <v>198708.81103675047</v>
      </c>
      <c r="DL24" s="38">
        <f t="shared" si="142"/>
        <v>200695.89914711798</v>
      </c>
      <c r="DM24" s="38">
        <f t="shared" si="142"/>
        <v>202702.85813858916</v>
      </c>
      <c r="DN24" s="38">
        <f t="shared" si="142"/>
        <v>204729.88671997504</v>
      </c>
      <c r="DO24" s="38">
        <f t="shared" si="142"/>
        <v>206777.18558717478</v>
      </c>
      <c r="DP24" s="38">
        <f t="shared" si="142"/>
        <v>208844.95744304653</v>
      </c>
      <c r="DQ24" s="38">
        <f t="shared" si="142"/>
        <v>210933.407017477</v>
      </c>
      <c r="DR24" s="38">
        <f t="shared" si="142"/>
        <v>213042.74108765178</v>
      </c>
      <c r="DS24" s="38">
        <f t="shared" si="142"/>
        <v>215173.16849852831</v>
      </c>
      <c r="DT24" s="38">
        <f t="shared" si="142"/>
        <v>217324.90018351359</v>
      </c>
      <c r="DU24" s="38">
        <f t="shared" si="142"/>
        <v>219498.14918534871</v>
      </c>
      <c r="DV24" s="38">
        <f t="shared" si="142"/>
        <v>221693.13067720219</v>
      </c>
      <c r="DW24" s="38">
        <f t="shared" si="142"/>
        <v>223910.06198397421</v>
      </c>
      <c r="DX24" s="38">
        <f t="shared" si="142"/>
        <v>226149.16260381395</v>
      </c>
      <c r="DY24" s="38">
        <f t="shared" si="142"/>
        <v>228410.65422985208</v>
      </c>
      <c r="DZ24" s="38">
        <f t="shared" si="142"/>
        <v>230694.76077215059</v>
      </c>
      <c r="EA24" s="38">
        <f t="shared" si="142"/>
        <v>233001.70837987211</v>
      </c>
      <c r="EB24" s="38">
        <f t="shared" si="142"/>
        <v>235331.72546367082</v>
      </c>
      <c r="EC24" s="38">
        <f t="shared" si="142"/>
        <v>237685.04271830752</v>
      </c>
      <c r="ED24" s="38">
        <f t="shared" si="142"/>
        <v>240061.89314549061</v>
      </c>
      <c r="EE24" s="38">
        <f t="shared" si="142"/>
        <v>242462.51207694551</v>
      </c>
      <c r="EF24" s="38">
        <f t="shared" si="142"/>
        <v>244887.13719771497</v>
      </c>
      <c r="EG24" s="38">
        <f t="shared" si="142"/>
        <v>247336.00856969212</v>
      </c>
      <c r="EH24" s="38">
        <f t="shared" si="142"/>
        <v>249809.36865538903</v>
      </c>
      <c r="EI24" s="38">
        <f t="shared" si="142"/>
        <v>252307.46234194291</v>
      </c>
      <c r="EJ24" s="38">
        <f t="shared" si="142"/>
        <v>254830.53696536235</v>
      </c>
      <c r="EK24" s="38">
        <f t="shared" si="142"/>
        <v>257378.84233501597</v>
      </c>
      <c r="EL24" s="38">
        <f t="shared" si="142"/>
        <v>259952.63075836614</v>
      </c>
      <c r="EM24" s="38">
        <f t="shared" si="142"/>
        <v>262552.15706594981</v>
      </c>
      <c r="EN24" s="38">
        <f t="shared" si="142"/>
        <v>265177.67863660929</v>
      </c>
      <c r="EO24" s="38">
        <f t="shared" si="142"/>
        <v>267829.45542297536</v>
      </c>
      <c r="EP24" s="38">
        <f t="shared" si="142"/>
        <v>270507.74997720512</v>
      </c>
      <c r="EQ24" s="38">
        <f t="shared" si="142"/>
        <v>273212.8274769772</v>
      </c>
      <c r="ER24" s="38">
        <f t="shared" si="142"/>
        <v>275944.95575174695</v>
      </c>
      <c r="ES24" s="38">
        <f t="shared" si="142"/>
        <v>278704.40530926443</v>
      </c>
      <c r="ET24" s="38">
        <f t="shared" si="142"/>
        <v>281491.44936235709</v>
      </c>
      <c r="EU24" s="38">
        <f t="shared" ref="EU24:HF24" si="143">ET24*(1+$X$29)</f>
        <v>284306.36385598069</v>
      </c>
      <c r="EV24" s="38">
        <f t="shared" si="143"/>
        <v>287149.42749454052</v>
      </c>
      <c r="EW24" s="38">
        <f t="shared" si="143"/>
        <v>290020.92176948593</v>
      </c>
      <c r="EX24" s="38">
        <f t="shared" si="143"/>
        <v>292921.1309871808</v>
      </c>
      <c r="EY24" s="38">
        <f t="shared" si="143"/>
        <v>295850.34229705262</v>
      </c>
      <c r="EZ24" s="38">
        <f t="shared" si="143"/>
        <v>298808.84572002315</v>
      </c>
      <c r="FA24" s="38">
        <f t="shared" si="143"/>
        <v>301796.93417722336</v>
      </c>
      <c r="FB24" s="38">
        <f t="shared" si="143"/>
        <v>304814.90351899562</v>
      </c>
      <c r="FC24" s="38">
        <f t="shared" si="143"/>
        <v>307863.05255418556</v>
      </c>
      <c r="FD24" s="38">
        <f t="shared" si="143"/>
        <v>310941.6830797274</v>
      </c>
      <c r="FE24" s="38">
        <f t="shared" si="143"/>
        <v>314051.09991052467</v>
      </c>
      <c r="FF24" s="38">
        <f t="shared" si="143"/>
        <v>317191.6109096299</v>
      </c>
      <c r="FG24" s="38">
        <f t="shared" si="143"/>
        <v>320363.52701872622</v>
      </c>
      <c r="FH24" s="38">
        <f t="shared" si="143"/>
        <v>323567.1622889135</v>
      </c>
      <c r="FI24" s="38">
        <f t="shared" si="143"/>
        <v>326802.83391180262</v>
      </c>
      <c r="FJ24" s="38">
        <f t="shared" si="143"/>
        <v>330070.86225092068</v>
      </c>
      <c r="FK24" s="38">
        <f t="shared" si="143"/>
        <v>333371.57087342988</v>
      </c>
      <c r="FL24" s="38">
        <f t="shared" si="143"/>
        <v>336705.28658216418</v>
      </c>
      <c r="FM24" s="38">
        <f t="shared" si="143"/>
        <v>340072.33944798581</v>
      </c>
      <c r="FN24" s="38">
        <f t="shared" si="143"/>
        <v>343473.06284246565</v>
      </c>
      <c r="FO24" s="38">
        <f t="shared" si="143"/>
        <v>346907.79347089032</v>
      </c>
      <c r="FP24" s="38">
        <f t="shared" si="143"/>
        <v>350376.87140559923</v>
      </c>
      <c r="FQ24" s="38">
        <f t="shared" si="143"/>
        <v>353880.64011965523</v>
      </c>
      <c r="FR24" s="38">
        <f t="shared" si="143"/>
        <v>357419.44652085181</v>
      </c>
      <c r="FS24" s="38">
        <f t="shared" si="143"/>
        <v>360993.64098606032</v>
      </c>
      <c r="FT24" s="38">
        <f t="shared" si="143"/>
        <v>364603.57739592093</v>
      </c>
      <c r="FU24" s="38">
        <f t="shared" si="143"/>
        <v>368249.61316988012</v>
      </c>
      <c r="FV24" s="38">
        <f t="shared" si="143"/>
        <v>371932.10930157889</v>
      </c>
      <c r="FW24" s="38">
        <f t="shared" si="143"/>
        <v>375651.43039459467</v>
      </c>
      <c r="FX24" s="38">
        <f t="shared" si="143"/>
        <v>379407.94469854061</v>
      </c>
      <c r="FY24" s="38">
        <f t="shared" si="143"/>
        <v>383202.024145526</v>
      </c>
      <c r="FZ24" s="38">
        <f t="shared" si="143"/>
        <v>387034.04438698129</v>
      </c>
      <c r="GA24" s="38">
        <f t="shared" si="143"/>
        <v>390904.38483085111</v>
      </c>
      <c r="GB24" s="38">
        <f t="shared" si="143"/>
        <v>394813.42867915961</v>
      </c>
      <c r="GC24" s="38">
        <f t="shared" si="143"/>
        <v>398761.56296595122</v>
      </c>
      <c r="GD24" s="38">
        <f t="shared" si="143"/>
        <v>402749.17859561072</v>
      </c>
      <c r="GE24" s="38">
        <f t="shared" si="143"/>
        <v>406776.67038156686</v>
      </c>
      <c r="GF24" s="38">
        <f t="shared" si="143"/>
        <v>410844.43708538252</v>
      </c>
      <c r="GG24" s="38">
        <f t="shared" si="143"/>
        <v>414952.88145623636</v>
      </c>
      <c r="GH24" s="38">
        <f t="shared" si="143"/>
        <v>419102.41027079872</v>
      </c>
      <c r="GI24" s="38">
        <f t="shared" si="143"/>
        <v>423293.43437350669</v>
      </c>
      <c r="GJ24" s="38">
        <f t="shared" si="143"/>
        <v>427526.36871724174</v>
      </c>
      <c r="GK24" s="38">
        <f t="shared" si="143"/>
        <v>431801.63240441418</v>
      </c>
      <c r="GL24" s="38">
        <f t="shared" si="143"/>
        <v>436119.64872845833</v>
      </c>
      <c r="GM24" s="38">
        <f t="shared" si="143"/>
        <v>440480.84521574294</v>
      </c>
      <c r="GN24" s="38">
        <f t="shared" si="143"/>
        <v>444885.65366790036</v>
      </c>
      <c r="GO24" s="38">
        <f t="shared" si="143"/>
        <v>449334.51020457939</v>
      </c>
      <c r="GP24" s="38">
        <f t="shared" si="143"/>
        <v>453827.85530662519</v>
      </c>
      <c r="GQ24" s="38">
        <f t="shared" si="143"/>
        <v>458366.13385969144</v>
      </c>
      <c r="GR24" s="38">
        <f t="shared" si="143"/>
        <v>462949.79519828834</v>
      </c>
      <c r="GS24" s="38">
        <f t="shared" si="143"/>
        <v>467579.29315027123</v>
      </c>
      <c r="GT24" s="38">
        <f t="shared" si="143"/>
        <v>472255.08608177397</v>
      </c>
      <c r="GU24" s="38">
        <f t="shared" si="143"/>
        <v>476977.63694259169</v>
      </c>
      <c r="GV24" s="38">
        <f t="shared" si="143"/>
        <v>481747.41331201763</v>
      </c>
      <c r="GW24" s="38">
        <f t="shared" si="143"/>
        <v>486564.88744513784</v>
      </c>
      <c r="GX24" s="38">
        <f t="shared" si="143"/>
        <v>491430.53631958924</v>
      </c>
      <c r="GY24" s="38">
        <f t="shared" si="143"/>
        <v>496344.84168278513</v>
      </c>
      <c r="GZ24" s="38">
        <f t="shared" si="143"/>
        <v>501308.29009961296</v>
      </c>
      <c r="HA24" s="38">
        <f t="shared" si="143"/>
        <v>506321.37300060911</v>
      </c>
      <c r="HB24" s="38">
        <f t="shared" si="143"/>
        <v>511384.58673061518</v>
      </c>
      <c r="HC24" s="38">
        <f t="shared" si="143"/>
        <v>516498.43259792135</v>
      </c>
      <c r="HD24" s="38">
        <f t="shared" si="143"/>
        <v>521663.41692390054</v>
      </c>
      <c r="HE24" s="38">
        <f t="shared" si="143"/>
        <v>526880.05109313957</v>
      </c>
      <c r="HF24" s="38">
        <f t="shared" si="143"/>
        <v>532148.85160407098</v>
      </c>
      <c r="HG24" s="38">
        <f t="shared" ref="HG24:IH24" si="144">HF24*(1+$X$29)</f>
        <v>537470.34012011171</v>
      </c>
      <c r="HH24" s="38">
        <f t="shared" si="144"/>
        <v>542845.04352131288</v>
      </c>
      <c r="HI24" s="38">
        <f t="shared" si="144"/>
        <v>548273.49395652604</v>
      </c>
      <c r="HJ24" s="38">
        <f t="shared" si="144"/>
        <v>553756.22889609134</v>
      </c>
      <c r="HK24" s="38">
        <f t="shared" si="144"/>
        <v>559293.79118505225</v>
      </c>
      <c r="HL24" s="38">
        <f t="shared" si="144"/>
        <v>564886.72909690277</v>
      </c>
      <c r="HM24" s="38">
        <f t="shared" si="144"/>
        <v>570535.59638787177</v>
      </c>
      <c r="HN24" s="38">
        <f t="shared" si="144"/>
        <v>576240.95235175046</v>
      </c>
      <c r="HO24" s="38">
        <f t="shared" si="144"/>
        <v>582003.36187526793</v>
      </c>
      <c r="HP24" s="38">
        <f t="shared" si="144"/>
        <v>587823.39549402066</v>
      </c>
      <c r="HQ24" s="38">
        <f t="shared" si="144"/>
        <v>593701.62944896088</v>
      </c>
      <c r="HR24" s="38">
        <f t="shared" si="144"/>
        <v>599638.6457434505</v>
      </c>
      <c r="HS24" s="38">
        <f t="shared" si="144"/>
        <v>605635.03220088501</v>
      </c>
      <c r="HT24" s="38">
        <f t="shared" si="144"/>
        <v>611691.38252289384</v>
      </c>
      <c r="HU24" s="38">
        <f t="shared" si="144"/>
        <v>617808.29634812276</v>
      </c>
      <c r="HV24" s="38">
        <f t="shared" si="144"/>
        <v>623986.37931160396</v>
      </c>
      <c r="HW24" s="38">
        <f t="shared" si="144"/>
        <v>630226.24310472002</v>
      </c>
      <c r="HX24" s="38">
        <f t="shared" si="144"/>
        <v>636528.50553576718</v>
      </c>
      <c r="HY24" s="38">
        <f t="shared" si="144"/>
        <v>642893.79059112491</v>
      </c>
      <c r="HZ24" s="38">
        <f t="shared" si="144"/>
        <v>649322.72849703615</v>
      </c>
      <c r="IA24" s="38">
        <f t="shared" si="144"/>
        <v>655815.95578200649</v>
      </c>
      <c r="IB24" s="38">
        <f t="shared" si="144"/>
        <v>662374.11533982656</v>
      </c>
      <c r="IC24" s="38">
        <f t="shared" si="144"/>
        <v>668997.85649322486</v>
      </c>
      <c r="ID24" s="38">
        <f t="shared" si="144"/>
        <v>675687.8350581571</v>
      </c>
      <c r="IE24" s="38">
        <f t="shared" si="144"/>
        <v>682444.71340873872</v>
      </c>
      <c r="IF24" s="38">
        <f t="shared" si="144"/>
        <v>689269.16054282617</v>
      </c>
      <c r="IG24" s="38">
        <f t="shared" si="144"/>
        <v>696161.8521482544</v>
      </c>
      <c r="IH24" s="39">
        <f t="shared" si="144"/>
        <v>703123.47066973697</v>
      </c>
    </row>
    <row r="27" spans="2:242">
      <c r="B27" s="17" t="s">
        <v>17</v>
      </c>
      <c r="C27" s="19"/>
      <c r="D27" s="20"/>
      <c r="E27" s="20"/>
      <c r="F27" s="20"/>
      <c r="G27" s="20"/>
      <c r="H27" s="20"/>
      <c r="I27" s="20"/>
      <c r="J27" s="20"/>
      <c r="K27" s="21"/>
      <c r="L27" s="32" t="s">
        <v>36</v>
      </c>
      <c r="M27" s="32" t="s">
        <v>37</v>
      </c>
    </row>
    <row r="28" spans="2:242">
      <c r="B28" s="18" t="s">
        <v>22</v>
      </c>
      <c r="C28" s="25">
        <f t="shared" ref="C28:K28" si="145">(C5+C9)/C5</f>
        <v>0.48634215601093467</v>
      </c>
      <c r="D28" s="25">
        <f t="shared" si="145"/>
        <v>0.46455700143204032</v>
      </c>
      <c r="E28" s="25">
        <f t="shared" si="145"/>
        <v>0.49858943468416661</v>
      </c>
      <c r="F28" s="25">
        <f t="shared" si="145"/>
        <v>0.4802027522731821</v>
      </c>
      <c r="G28" s="25">
        <f t="shared" si="145"/>
        <v>0.49893375724560418</v>
      </c>
      <c r="H28" s="25">
        <f t="shared" si="145"/>
        <v>0.52515967420602372</v>
      </c>
      <c r="I28" s="25">
        <f t="shared" si="145"/>
        <v>0.50860968354471392</v>
      </c>
      <c r="J28" s="25">
        <f t="shared" si="145"/>
        <v>0.53729955421038711</v>
      </c>
      <c r="K28" s="25">
        <f t="shared" si="145"/>
        <v>0.52193286691442309</v>
      </c>
      <c r="L28" s="25">
        <f>AVERAGE(C28:K28)</f>
        <v>0.50240298672460848</v>
      </c>
      <c r="M28" s="25">
        <f>AVERAGE(H28:K28)</f>
        <v>0.52325044471888693</v>
      </c>
      <c r="W28" s="61" t="s">
        <v>47</v>
      </c>
      <c r="X28" s="62"/>
      <c r="Y28" s="62"/>
      <c r="Z28" s="63"/>
    </row>
    <row r="29" spans="2:242">
      <c r="B29" s="18" t="s">
        <v>23</v>
      </c>
      <c r="C29" s="26">
        <f t="shared" ref="C29:K29" si="146">(C6+C10)/C6</f>
        <v>0.3943511733605416</v>
      </c>
      <c r="D29" s="26">
        <f t="shared" si="146"/>
        <v>0.4080289957845803</v>
      </c>
      <c r="E29" s="26">
        <f t="shared" si="146"/>
        <v>0.33941673805355888</v>
      </c>
      <c r="F29" s="26">
        <f t="shared" si="146"/>
        <v>0.33989659324314758</v>
      </c>
      <c r="G29" s="26">
        <f t="shared" si="146"/>
        <v>0.45055845326196786</v>
      </c>
      <c r="H29" s="26">
        <f t="shared" si="146"/>
        <v>0.53226977532168929</v>
      </c>
      <c r="I29" s="26">
        <f t="shared" si="146"/>
        <v>0.49661332729710439</v>
      </c>
      <c r="J29" s="26">
        <f t="shared" si="146"/>
        <v>0.41788999804266974</v>
      </c>
      <c r="K29" s="26">
        <f t="shared" si="146"/>
        <v>0.48199932247235994</v>
      </c>
      <c r="L29" s="26">
        <f t="shared" ref="L29:L32" si="147">AVERAGE(C29:K29)</f>
        <v>0.42900270853751332</v>
      </c>
      <c r="M29" s="26">
        <f t="shared" ref="M29:M32" si="148">AVERAGE(H29:K29)</f>
        <v>0.48219310578345587</v>
      </c>
      <c r="W29" s="41" t="s">
        <v>38</v>
      </c>
      <c r="X29" s="48">
        <v>0.01</v>
      </c>
      <c r="Y29" s="43">
        <v>0.01</v>
      </c>
      <c r="Z29" s="43">
        <v>0.01</v>
      </c>
    </row>
    <row r="30" spans="2:242">
      <c r="B30" s="23" t="s">
        <v>18</v>
      </c>
      <c r="C30" s="37">
        <f t="shared" ref="C30:K30" si="149">C12/C7</f>
        <v>0.4574915273959651</v>
      </c>
      <c r="D30" s="37">
        <f t="shared" si="149"/>
        <v>0.44854787061934465</v>
      </c>
      <c r="E30" s="37">
        <f t="shared" si="149"/>
        <v>0.45953947368421061</v>
      </c>
      <c r="F30" s="37">
        <f t="shared" si="149"/>
        <v>0.44668358714043993</v>
      </c>
      <c r="G30" s="37">
        <f t="shared" si="149"/>
        <v>0.48626104374575241</v>
      </c>
      <c r="H30" s="37">
        <f t="shared" si="149"/>
        <v>0.52705389285906179</v>
      </c>
      <c r="I30" s="37">
        <f t="shared" si="149"/>
        <v>0.50535577658760522</v>
      </c>
      <c r="J30" s="37">
        <f t="shared" si="149"/>
        <v>0.51294881796904768</v>
      </c>
      <c r="K30" s="37">
        <f t="shared" si="149"/>
        <v>0.51275700653506895</v>
      </c>
      <c r="L30" s="37">
        <f t="shared" si="147"/>
        <v>0.48407099961516625</v>
      </c>
      <c r="M30" s="37">
        <f t="shared" si="148"/>
        <v>0.51452887348769594</v>
      </c>
      <c r="W30" s="42" t="s">
        <v>39</v>
      </c>
      <c r="X30" s="49">
        <v>7.6999999999999999E-2</v>
      </c>
      <c r="Y30" s="44">
        <v>0.10299999999999999</v>
      </c>
      <c r="Z30" s="44">
        <v>0.1318</v>
      </c>
    </row>
    <row r="31" spans="2:242">
      <c r="B31" s="33" t="s">
        <v>19</v>
      </c>
      <c r="C31" s="34">
        <f t="shared" ref="C31:K31" si="150">C18/C7</f>
        <v>0.25577809777312321</v>
      </c>
      <c r="D31" s="34">
        <f t="shared" si="150"/>
        <v>0.27220592009104405</v>
      </c>
      <c r="E31" s="34">
        <f t="shared" si="150"/>
        <v>0.27095211988304102</v>
      </c>
      <c r="F31" s="34">
        <f t="shared" si="150"/>
        <v>0.23610829103214892</v>
      </c>
      <c r="G31" s="34">
        <f t="shared" si="150"/>
        <v>0.28983796544693635</v>
      </c>
      <c r="H31" s="34">
        <f t="shared" si="150"/>
        <v>0.3626941056364516</v>
      </c>
      <c r="I31" s="34">
        <f t="shared" si="150"/>
        <v>0.30702201819263802</v>
      </c>
      <c r="J31" s="34">
        <f t="shared" si="150"/>
        <v>0.3281129234174574</v>
      </c>
      <c r="K31" s="34">
        <f t="shared" si="150"/>
        <v>0.3192382947255944</v>
      </c>
      <c r="L31" s="34">
        <f t="shared" si="147"/>
        <v>0.29354997068871502</v>
      </c>
      <c r="M31" s="34">
        <f t="shared" si="148"/>
        <v>0.32926683549303537</v>
      </c>
      <c r="W31" s="42" t="s">
        <v>40</v>
      </c>
      <c r="X31" s="50">
        <v>393283720</v>
      </c>
      <c r="Y31" s="45">
        <v>393283720</v>
      </c>
      <c r="Z31" s="45">
        <v>393283720</v>
      </c>
    </row>
    <row r="32" spans="2:242">
      <c r="B32" s="35" t="s">
        <v>21</v>
      </c>
      <c r="C32" s="36">
        <f t="shared" ref="C32:K32" si="151">C24/C7</f>
        <v>0.22658579511570731</v>
      </c>
      <c r="D32" s="36">
        <f t="shared" si="151"/>
        <v>0.23058899661932236</v>
      </c>
      <c r="E32" s="36">
        <f t="shared" si="151"/>
        <v>0.2368055555555556</v>
      </c>
      <c r="F32" s="36">
        <f t="shared" si="151"/>
        <v>0.21931472081218276</v>
      </c>
      <c r="G32" s="36">
        <f t="shared" si="151"/>
        <v>0.25422613298994878</v>
      </c>
      <c r="H32" s="36">
        <f t="shared" si="151"/>
        <v>0.31611412605448397</v>
      </c>
      <c r="I32" s="36">
        <f t="shared" si="151"/>
        <v>0.26562573795422567</v>
      </c>
      <c r="J32" s="36">
        <f t="shared" si="151"/>
        <v>0.28444944391022736</v>
      </c>
      <c r="K32" s="36">
        <f t="shared" si="151"/>
        <v>0.26789890634011376</v>
      </c>
      <c r="L32" s="36">
        <f t="shared" si="147"/>
        <v>0.25573437948352973</v>
      </c>
      <c r="M32" s="36">
        <f t="shared" si="148"/>
        <v>0.28352205356476273</v>
      </c>
      <c r="W32" s="42" t="s">
        <v>45</v>
      </c>
      <c r="X32" s="51">
        <f>NPV(X30,$L$24:$IH$24)</f>
        <v>738522.47444636025</v>
      </c>
      <c r="Y32" s="40">
        <f>NPV(Y30,$L$24:$IH$24)</f>
        <v>470768.56602700381</v>
      </c>
      <c r="Z32" s="40">
        <f>NPV(Z30,$L$24:$IH$24)</f>
        <v>317577.67231502186</v>
      </c>
    </row>
    <row r="33" spans="2:26">
      <c r="W33" s="42" t="s">
        <v>42</v>
      </c>
      <c r="X33" s="51">
        <f>(X32*1000000)/X31</f>
        <v>1877.8363733092237</v>
      </c>
      <c r="Y33" s="40">
        <f>(Y32*1000000)/Y31</f>
        <v>1197.0202225177381</v>
      </c>
      <c r="Z33" s="40">
        <f>(Z32*1000000)/Z31</f>
        <v>807.50271665204411</v>
      </c>
    </row>
    <row r="34" spans="2:26">
      <c r="B34" s="17" t="s">
        <v>24</v>
      </c>
      <c r="C34" s="19"/>
      <c r="D34" s="20"/>
      <c r="E34" s="20"/>
      <c r="F34" s="20"/>
      <c r="G34" s="20"/>
      <c r="H34" s="20"/>
      <c r="I34" s="20"/>
      <c r="J34" s="20"/>
      <c r="K34" s="21"/>
      <c r="L34" s="32" t="s">
        <v>36</v>
      </c>
      <c r="M34" s="32" t="s">
        <v>37</v>
      </c>
      <c r="W34" s="55" t="s">
        <v>41</v>
      </c>
      <c r="X34" s="56">
        <f>X33*1.18</f>
        <v>2215.8469205048841</v>
      </c>
      <c r="Y34" s="57">
        <f t="shared" ref="Y34:Z34" si="152">Y33*1.18</f>
        <v>1412.483862570931</v>
      </c>
      <c r="Z34" s="57">
        <f t="shared" si="152"/>
        <v>952.85320564941196</v>
      </c>
    </row>
    <row r="35" spans="2:26">
      <c r="B35" s="22" t="s">
        <v>25</v>
      </c>
      <c r="C35" s="27"/>
      <c r="D35" s="31">
        <f t="shared" ref="D35:K37" si="153">(D5/C5)-1</f>
        <v>0.36141897476106721</v>
      </c>
      <c r="E35" s="31">
        <f t="shared" si="153"/>
        <v>0.28558308947139044</v>
      </c>
      <c r="F35" s="31">
        <f t="shared" si="153"/>
        <v>8.9247012386337587E-2</v>
      </c>
      <c r="G35" s="31">
        <f t="shared" si="153"/>
        <v>0.14677308196794203</v>
      </c>
      <c r="H35" s="31">
        <f t="shared" si="153"/>
        <v>0.32338173429230554</v>
      </c>
      <c r="I35" s="31">
        <f t="shared" si="153"/>
        <v>0.13019307394820112</v>
      </c>
      <c r="J35" s="31">
        <f t="shared" si="153"/>
        <v>0.42178700349312703</v>
      </c>
      <c r="K35" s="31">
        <f t="shared" si="153"/>
        <v>-7.7443410244955047E-3</v>
      </c>
      <c r="L35" s="31">
        <f>AVERAGE(D35:K35)</f>
        <v>0.21882995366198443</v>
      </c>
      <c r="M35" s="31">
        <f>AVERAGE(H35:K35)</f>
        <v>0.21690436767728455</v>
      </c>
      <c r="W35" s="52" t="s">
        <v>43</v>
      </c>
      <c r="X35" s="53">
        <v>867.3</v>
      </c>
      <c r="Y35" s="54">
        <v>867.3</v>
      </c>
      <c r="Z35" s="54">
        <v>867.3</v>
      </c>
    </row>
    <row r="36" spans="2:26">
      <c r="B36" s="18" t="s">
        <v>26</v>
      </c>
      <c r="C36" s="28"/>
      <c r="D36" s="28">
        <f t="shared" si="153"/>
        <v>0.17720990631666833</v>
      </c>
      <c r="E36" s="28">
        <f t="shared" si="153"/>
        <v>5.7755190481818541E-2</v>
      </c>
      <c r="F36" s="28">
        <f t="shared" si="153"/>
        <v>5.1733770345264274E-2</v>
      </c>
      <c r="G36" s="28">
        <f t="shared" si="153"/>
        <v>0.29679864013032087</v>
      </c>
      <c r="H36" s="28">
        <f t="shared" si="153"/>
        <v>0.35399655916327588</v>
      </c>
      <c r="I36" s="28">
        <f t="shared" si="153"/>
        <v>0.15830341656246238</v>
      </c>
      <c r="J36" s="28">
        <f t="shared" si="153"/>
        <v>-2.1451829151503676E-2</v>
      </c>
      <c r="K36" s="28">
        <f t="shared" si="153"/>
        <v>0.15557216320575096</v>
      </c>
      <c r="L36" s="28">
        <f t="shared" ref="L36:L51" si="154">AVERAGE(D36:K36)</f>
        <v>0.15373972713175721</v>
      </c>
      <c r="M36" s="28">
        <f t="shared" ref="M36:M51" si="155">AVERAGE(H36:K36)</f>
        <v>0.16160507744499639</v>
      </c>
      <c r="W36" s="58" t="s">
        <v>44</v>
      </c>
      <c r="X36" s="59">
        <f>X34-X35</f>
        <v>1348.5469205048842</v>
      </c>
      <c r="Y36" s="60">
        <f t="shared" ref="Y36:Z36" si="156">Y34-Y35</f>
        <v>545.18386257093107</v>
      </c>
      <c r="Z36" s="60">
        <f t="shared" si="156"/>
        <v>85.553205649412007</v>
      </c>
    </row>
    <row r="37" spans="2:26">
      <c r="B37" s="23" t="s">
        <v>6</v>
      </c>
      <c r="C37" s="29"/>
      <c r="D37" s="29">
        <f t="shared" si="153"/>
        <v>0.30364649241465602</v>
      </c>
      <c r="E37" s="29">
        <f t="shared" si="153"/>
        <v>0.2210606178941612</v>
      </c>
      <c r="F37" s="29">
        <f t="shared" si="153"/>
        <v>8.0043859649122862E-2</v>
      </c>
      <c r="G37" s="29">
        <f t="shared" si="153"/>
        <v>0.18261421319796955</v>
      </c>
      <c r="H37" s="29">
        <f t="shared" si="153"/>
        <v>0.33140179561469396</v>
      </c>
      <c r="I37" s="29">
        <f t="shared" si="153"/>
        <v>0.137682016012036</v>
      </c>
      <c r="J37" s="29">
        <f t="shared" si="153"/>
        <v>0.30156233765007023</v>
      </c>
      <c r="K37" s="29">
        <f t="shared" si="153"/>
        <v>2.5560171997750292E-2</v>
      </c>
      <c r="L37" s="29">
        <f>AVERAGE(D37:K37)</f>
        <v>0.19794643805380752</v>
      </c>
      <c r="M37" s="29">
        <f>AVERAGE(H37:K37)</f>
        <v>0.19905158031863762</v>
      </c>
      <c r="W37" s="46" t="s">
        <v>46</v>
      </c>
      <c r="X37" s="17" t="str">
        <f>IF(X36&gt;0,"Buy","Sell")</f>
        <v>Buy</v>
      </c>
      <c r="Y37" s="47" t="str">
        <f t="shared" ref="Y37:Z37" si="157">IF(Y36&gt;0,"Buy","Sell")</f>
        <v>Buy</v>
      </c>
      <c r="Z37" s="47" t="str">
        <f t="shared" si="157"/>
        <v>Buy</v>
      </c>
    </row>
    <row r="38" spans="2:26">
      <c r="B38" s="18" t="s">
        <v>28</v>
      </c>
      <c r="C38" s="28"/>
      <c r="D38" s="28">
        <f t="shared" ref="D38:K40" si="158">(D9/C9)-1</f>
        <v>0.41915920623788105</v>
      </c>
      <c r="E38" s="28">
        <f t="shared" si="158"/>
        <v>0.20387220558737162</v>
      </c>
      <c r="F38" s="28">
        <f t="shared" si="158"/>
        <v>0.12918960687723358</v>
      </c>
      <c r="G38" s="28">
        <f t="shared" si="158"/>
        <v>0.10544886873957493</v>
      </c>
      <c r="H38" s="28">
        <f t="shared" si="158"/>
        <v>0.25411564428452582</v>
      </c>
      <c r="I38" s="28">
        <f t="shared" si="158"/>
        <v>0.16958459948479865</v>
      </c>
      <c r="J38" s="28">
        <f t="shared" si="158"/>
        <v>0.33877583319045668</v>
      </c>
      <c r="K38" s="28">
        <f t="shared" si="158"/>
        <v>2.5209338981381002E-2</v>
      </c>
      <c r="L38" s="28">
        <f t="shared" si="154"/>
        <v>0.20566941292290292</v>
      </c>
      <c r="M38" s="28">
        <f t="shared" si="155"/>
        <v>0.19692135398529054</v>
      </c>
    </row>
    <row r="39" spans="2:26">
      <c r="B39" s="18" t="s">
        <v>29</v>
      </c>
      <c r="C39" s="28"/>
      <c r="D39" s="28">
        <f t="shared" si="158"/>
        <v>0.15062409066544125</v>
      </c>
      <c r="E39" s="28">
        <f t="shared" si="158"/>
        <v>0.18035405297484353</v>
      </c>
      <c r="F39" s="28">
        <f t="shared" si="158"/>
        <v>5.0969778980604508E-2</v>
      </c>
      <c r="G39" s="28">
        <f t="shared" si="158"/>
        <v>7.9399141630901227E-2</v>
      </c>
      <c r="H39" s="28">
        <f t="shared" si="158"/>
        <v>0.15263419483101393</v>
      </c>
      <c r="I39" s="28">
        <f t="shared" si="158"/>
        <v>0.24660428614548757</v>
      </c>
      <c r="J39" s="28">
        <f t="shared" si="158"/>
        <v>0.13158076790038042</v>
      </c>
      <c r="K39" s="28">
        <f t="shared" si="158"/>
        <v>2.8305924069205846E-2</v>
      </c>
      <c r="L39" s="28">
        <f t="shared" si="154"/>
        <v>0.12755902964973478</v>
      </c>
      <c r="M39" s="28">
        <f t="shared" si="155"/>
        <v>0.13978129323652194</v>
      </c>
    </row>
    <row r="40" spans="2:26">
      <c r="B40" s="23" t="s">
        <v>27</v>
      </c>
      <c r="C40" s="29"/>
      <c r="D40" s="29">
        <f t="shared" si="158"/>
        <v>0.32513807710869203</v>
      </c>
      <c r="E40" s="29">
        <f t="shared" si="158"/>
        <v>0.19672230652503786</v>
      </c>
      <c r="F40" s="29">
        <f t="shared" si="158"/>
        <v>0.10573476702508966</v>
      </c>
      <c r="G40" s="29">
        <f t="shared" si="158"/>
        <v>9.8024525243876282E-2</v>
      </c>
      <c r="H40" s="29">
        <f t="shared" si="158"/>
        <v>0.22568337209140399</v>
      </c>
      <c r="I40" s="29">
        <f t="shared" si="158"/>
        <v>0.18987730061349684</v>
      </c>
      <c r="J40" s="29">
        <f t="shared" si="158"/>
        <v>0.28158269122435153</v>
      </c>
      <c r="K40" s="29">
        <f t="shared" si="158"/>
        <v>2.5964060078674356E-2</v>
      </c>
      <c r="L40" s="29">
        <f t="shared" si="154"/>
        <v>0.18109088748882782</v>
      </c>
      <c r="M40" s="29">
        <f t="shared" si="155"/>
        <v>0.18077685600198168</v>
      </c>
    </row>
    <row r="41" spans="2:26">
      <c r="B41" s="18" t="s">
        <v>12</v>
      </c>
      <c r="C41" s="28"/>
      <c r="D41" s="28">
        <f t="shared" ref="D41:K42" si="159">(D14/C14)-1</f>
        <v>0.13917525773195893</v>
      </c>
      <c r="E41" s="28">
        <f t="shared" si="159"/>
        <v>0.25101214574898778</v>
      </c>
      <c r="F41" s="28">
        <f t="shared" si="159"/>
        <v>0.24912748270829366</v>
      </c>
      <c r="G41" s="28">
        <f t="shared" si="159"/>
        <v>0.11800863601727207</v>
      </c>
      <c r="H41" s="28">
        <f t="shared" si="159"/>
        <v>0.15730643402399114</v>
      </c>
      <c r="I41" s="28">
        <f t="shared" si="159"/>
        <v>0.27738515901060068</v>
      </c>
      <c r="J41" s="28">
        <f t="shared" si="159"/>
        <v>0.22348240356539106</v>
      </c>
      <c r="K41" s="28">
        <f t="shared" si="159"/>
        <v>8.1168668039993896E-2</v>
      </c>
      <c r="L41" s="28">
        <f t="shared" si="154"/>
        <v>0.18708327335581115</v>
      </c>
      <c r="M41" s="28">
        <f t="shared" si="155"/>
        <v>0.18483566615999419</v>
      </c>
    </row>
    <row r="42" spans="2:26">
      <c r="B42" s="18" t="s">
        <v>30</v>
      </c>
      <c r="C42" s="28"/>
      <c r="D42" s="28">
        <f t="shared" si="159"/>
        <v>0.11152614727854848</v>
      </c>
      <c r="E42" s="28">
        <f t="shared" si="159"/>
        <v>0.171387421987518</v>
      </c>
      <c r="F42" s="28">
        <f t="shared" si="159"/>
        <v>6.6598360655737654E-2</v>
      </c>
      <c r="G42" s="28">
        <f t="shared" si="159"/>
        <v>4.6878001921229595E-2</v>
      </c>
      <c r="H42" s="28">
        <f t="shared" si="159"/>
        <v>0.33162048082216922</v>
      </c>
      <c r="I42" s="28">
        <f t="shared" si="159"/>
        <v>0.30361080485115766</v>
      </c>
      <c r="J42" s="28">
        <f t="shared" si="159"/>
        <v>0.17686859076012262</v>
      </c>
      <c r="K42" s="28">
        <f t="shared" si="159"/>
        <v>4.7161336687028488E-2</v>
      </c>
      <c r="L42" s="28">
        <f t="shared" si="154"/>
        <v>0.15695639312043896</v>
      </c>
      <c r="M42" s="28">
        <f t="shared" si="155"/>
        <v>0.2148153032801195</v>
      </c>
    </row>
    <row r="43" spans="2:26">
      <c r="B43" s="18" t="s">
        <v>13</v>
      </c>
      <c r="C43" s="28"/>
      <c r="D43" s="28">
        <f t="shared" ref="D43:E49" si="160">(D16/C16)-1</f>
        <v>2.1321961620469176E-2</v>
      </c>
      <c r="E43" s="28">
        <f t="shared" si="160"/>
        <v>-1</v>
      </c>
      <c r="F43" s="28">
        <v>0</v>
      </c>
      <c r="G43" s="28">
        <v>0</v>
      </c>
      <c r="H43" s="28">
        <v>0</v>
      </c>
      <c r="I43" s="28">
        <f t="shared" ref="I43:I51" si="161">(I16/H16)-1</f>
        <v>-1</v>
      </c>
      <c r="J43" s="28">
        <v>0</v>
      </c>
      <c r="K43" s="28">
        <v>0</v>
      </c>
      <c r="L43" s="28">
        <f t="shared" si="154"/>
        <v>-0.24733475479744135</v>
      </c>
      <c r="M43" s="28">
        <f t="shared" si="155"/>
        <v>-0.25</v>
      </c>
    </row>
    <row r="44" spans="2:26">
      <c r="B44" s="23" t="s">
        <v>31</v>
      </c>
      <c r="C44" s="29"/>
      <c r="D44" s="29">
        <f t="shared" si="160"/>
        <v>0.13967406980098085</v>
      </c>
      <c r="E44" s="29">
        <f t="shared" si="160"/>
        <v>0.30585257829800683</v>
      </c>
      <c r="F44" s="29">
        <f t="shared" ref="F44:H51" si="162">(F17/E17)-1</f>
        <v>0.20596928145743498</v>
      </c>
      <c r="G44" s="29">
        <f t="shared" si="162"/>
        <v>0.10313378867014866</v>
      </c>
      <c r="H44" s="29">
        <f t="shared" si="162"/>
        <v>0.11406927195250738</v>
      </c>
      <c r="I44" s="29">
        <f t="shared" si="161"/>
        <v>0.37284644806956724</v>
      </c>
      <c r="J44" s="29">
        <f t="shared" ref="J44:K51" si="163">(J17/I17)-1</f>
        <v>0.21298280706767647</v>
      </c>
      <c r="K44" s="29">
        <f t="shared" si="163"/>
        <v>7.3736699517059856E-2</v>
      </c>
      <c r="L44" s="29">
        <f t="shared" si="154"/>
        <v>0.19103311810417278</v>
      </c>
      <c r="M44" s="29">
        <f t="shared" si="155"/>
        <v>0.19340880665170274</v>
      </c>
    </row>
    <row r="45" spans="2:26">
      <c r="B45" s="23" t="s">
        <v>20</v>
      </c>
      <c r="C45" s="29"/>
      <c r="D45" s="29">
        <f t="shared" si="160"/>
        <v>0.38737560420813288</v>
      </c>
      <c r="E45" s="29">
        <f t="shared" si="160"/>
        <v>0.21543632413821356</v>
      </c>
      <c r="F45" s="29">
        <f t="shared" si="162"/>
        <v>-5.8847334165177401E-2</v>
      </c>
      <c r="G45" s="29">
        <f t="shared" si="162"/>
        <v>0.45173426974344255</v>
      </c>
      <c r="H45" s="29">
        <f t="shared" si="162"/>
        <v>0.666074293471554</v>
      </c>
      <c r="I45" s="29">
        <f t="shared" si="161"/>
        <v>-3.694760077628445E-2</v>
      </c>
      <c r="J45" s="29">
        <f t="shared" si="163"/>
        <v>0.39097327980063623</v>
      </c>
      <c r="K45" s="29">
        <f t="shared" si="163"/>
        <v>-2.1786492374724631E-3</v>
      </c>
      <c r="L45" s="29">
        <f t="shared" si="154"/>
        <v>0.25170252339788063</v>
      </c>
      <c r="M45" s="29">
        <f t="shared" si="155"/>
        <v>0.2544803308146083</v>
      </c>
    </row>
    <row r="46" spans="2:26">
      <c r="B46" s="18" t="s">
        <v>14</v>
      </c>
      <c r="C46" s="28"/>
      <c r="D46" s="28">
        <f t="shared" si="160"/>
        <v>-2.4925816023738872</v>
      </c>
      <c r="E46" s="28">
        <f t="shared" si="160"/>
        <v>-0.43737574552683889</v>
      </c>
      <c r="F46" s="28">
        <f t="shared" si="162"/>
        <v>-0.11660777385159016</v>
      </c>
      <c r="G46" s="28">
        <f t="shared" si="162"/>
        <v>0.39599999999999991</v>
      </c>
      <c r="H46" s="28">
        <f t="shared" si="162"/>
        <v>0.27793696275071644</v>
      </c>
      <c r="I46" s="28">
        <f t="shared" si="161"/>
        <v>0</v>
      </c>
      <c r="J46" s="28">
        <f t="shared" si="163"/>
        <v>-1.9237668161434978</v>
      </c>
      <c r="K46" s="28">
        <f t="shared" si="163"/>
        <v>-0.51941747572815533</v>
      </c>
      <c r="L46" s="28">
        <f t="shared" si="154"/>
        <v>-0.60197655635915659</v>
      </c>
      <c r="M46" s="28">
        <f t="shared" si="155"/>
        <v>-0.54131183228023416</v>
      </c>
    </row>
    <row r="47" spans="2:26">
      <c r="B47" s="23" t="s">
        <v>35</v>
      </c>
      <c r="C47" s="29"/>
      <c r="D47" s="29">
        <f t="shared" si="160"/>
        <v>0.33322173864524118</v>
      </c>
      <c r="E47" s="29">
        <f t="shared" si="160"/>
        <v>0.22917887335732812</v>
      </c>
      <c r="F47" s="29">
        <f t="shared" si="162"/>
        <v>-5.8290772897514609E-2</v>
      </c>
      <c r="G47" s="29">
        <f t="shared" si="162"/>
        <v>0.45223805047364207</v>
      </c>
      <c r="H47" s="29">
        <f t="shared" si="162"/>
        <v>0.66944679579744082</v>
      </c>
      <c r="I47" s="29">
        <f t="shared" si="161"/>
        <v>-3.7193348743568388E-2</v>
      </c>
      <c r="J47" s="29">
        <f t="shared" si="163"/>
        <v>0.40696395656820639</v>
      </c>
      <c r="K47" s="29">
        <f t="shared" si="163"/>
        <v>-4.5246876204104725E-3</v>
      </c>
      <c r="L47" s="29">
        <f t="shared" si="154"/>
        <v>0.24888007569754561</v>
      </c>
      <c r="M47" s="29">
        <f t="shared" si="155"/>
        <v>0.25867317900041709</v>
      </c>
    </row>
    <row r="48" spans="2:26">
      <c r="B48" s="18" t="s">
        <v>15</v>
      </c>
      <c r="C48" s="28"/>
      <c r="D48" s="28">
        <f t="shared" si="160"/>
        <v>0.30546075085324231</v>
      </c>
      <c r="E48" s="28">
        <f t="shared" si="160"/>
        <v>0.14901960784313739</v>
      </c>
      <c r="F48" s="28">
        <f t="shared" si="162"/>
        <v>-0.45477815699658708</v>
      </c>
      <c r="G48" s="28">
        <f t="shared" si="162"/>
        <v>1.8768909754825249</v>
      </c>
      <c r="H48" s="28">
        <f t="shared" si="162"/>
        <v>0.85203989120580226</v>
      </c>
      <c r="I48" s="28">
        <f t="shared" si="161"/>
        <v>-5.0420990796945397E-2</v>
      </c>
      <c r="J48" s="28">
        <f t="shared" si="163"/>
        <v>0.48035879987627594</v>
      </c>
      <c r="K48" s="28">
        <f t="shared" si="163"/>
        <v>0.17049728374425399</v>
      </c>
      <c r="L48" s="28">
        <f t="shared" si="154"/>
        <v>0.41613352015146299</v>
      </c>
      <c r="M48" s="28">
        <f t="shared" si="155"/>
        <v>0.36311874600734673</v>
      </c>
    </row>
    <row r="49" spans="2:13">
      <c r="B49" s="23" t="s">
        <v>34</v>
      </c>
      <c r="C49" s="29"/>
      <c r="D49" s="29">
        <f t="shared" si="160"/>
        <v>0.33739889587880434</v>
      </c>
      <c r="E49" s="29">
        <f t="shared" si="160"/>
        <v>0.24095228952673509</v>
      </c>
      <c r="F49" s="29">
        <f t="shared" si="162"/>
        <v>-4.3706969907945092E-3</v>
      </c>
      <c r="G49" s="29">
        <f t="shared" si="162"/>
        <v>0.34614039858591306</v>
      </c>
      <c r="H49" s="29">
        <f t="shared" si="162"/>
        <v>0.64038555885833048</v>
      </c>
      <c r="I49" s="29">
        <f t="shared" si="161"/>
        <v>-3.4816417726640569E-2</v>
      </c>
      <c r="J49" s="29">
        <f t="shared" si="163"/>
        <v>0.39398855309686054</v>
      </c>
      <c r="K49" s="29">
        <f t="shared" si="163"/>
        <v>-3.738378859003344E-2</v>
      </c>
      <c r="L49" s="29">
        <f t="shared" si="154"/>
        <v>0.23528684907989689</v>
      </c>
      <c r="M49" s="29">
        <f t="shared" si="155"/>
        <v>0.24054347640962925</v>
      </c>
    </row>
    <row r="50" spans="2:13">
      <c r="B50" s="18" t="s">
        <v>33</v>
      </c>
      <c r="C50" s="28"/>
      <c r="D50" s="28">
        <v>0</v>
      </c>
      <c r="E50" s="28">
        <f>(E23/D23)-1</f>
        <v>-1.3712574850299402</v>
      </c>
      <c r="F50" s="28">
        <f t="shared" si="162"/>
        <v>1.9354838709677415</v>
      </c>
      <c r="G50" s="28">
        <f t="shared" si="162"/>
        <v>3.8681318681318677</v>
      </c>
      <c r="H50" s="28">
        <f t="shared" si="162"/>
        <v>1.2471783295711063</v>
      </c>
      <c r="I50" s="28">
        <f t="shared" si="161"/>
        <v>-0.30688096433952783</v>
      </c>
      <c r="J50" s="28">
        <f t="shared" si="163"/>
        <v>0.38623188405797104</v>
      </c>
      <c r="K50" s="28">
        <f t="shared" si="163"/>
        <v>9.6706743335075895E-2</v>
      </c>
      <c r="L50" s="28">
        <f t="shared" si="154"/>
        <v>0.7319492808367869</v>
      </c>
      <c r="M50" s="28">
        <f t="shared" si="155"/>
        <v>0.35580899815615635</v>
      </c>
    </row>
    <row r="51" spans="2:13">
      <c r="B51" s="24" t="s">
        <v>16</v>
      </c>
      <c r="C51" s="30"/>
      <c r="D51" s="30">
        <f>(D24/C24)-1</f>
        <v>0.32667864937732816</v>
      </c>
      <c r="E51" s="30">
        <f>(E24/D24)-1</f>
        <v>0.25397977451976561</v>
      </c>
      <c r="F51" s="30">
        <f t="shared" si="162"/>
        <v>2.7010341102018387E-4</v>
      </c>
      <c r="G51" s="30">
        <f t="shared" si="162"/>
        <v>0.37086756933996812</v>
      </c>
      <c r="H51" s="30">
        <f t="shared" si="162"/>
        <v>0.65551397135380074</v>
      </c>
      <c r="I51" s="30">
        <f t="shared" si="161"/>
        <v>-4.4023660592874325E-2</v>
      </c>
      <c r="J51" s="30">
        <f t="shared" si="163"/>
        <v>0.39379822908146878</v>
      </c>
      <c r="K51" s="30">
        <f t="shared" si="163"/>
        <v>-3.4111493812986171E-2</v>
      </c>
      <c r="L51" s="30">
        <f t="shared" si="154"/>
        <v>0.24037164283468637</v>
      </c>
      <c r="M51" s="30">
        <f t="shared" si="155"/>
        <v>0.24279426150735225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4CF8-9BBC-44D4-9E8F-9D44598CA73C}">
  <dimension ref="A1:D104"/>
  <sheetViews>
    <sheetView showGridLines="0" tabSelected="1" showRuler="0" workbookViewId="0"/>
  </sheetViews>
  <sheetFormatPr defaultColWidth="12.62890625" defaultRowHeight="12.3"/>
  <cols>
    <col min="1" max="1" width="49.7890625" style="64" customWidth="1"/>
    <col min="2" max="25" width="19.05078125" style="64" customWidth="1"/>
    <col min="26" max="16384" width="12.62890625" style="64"/>
  </cols>
  <sheetData>
    <row r="1" spans="1:4" ht="15.75" customHeight="1">
      <c r="A1" s="86" t="s">
        <v>77</v>
      </c>
    </row>
    <row r="2" spans="1:4" ht="32.549999999999997" customHeight="1">
      <c r="A2" s="85" t="s">
        <v>76</v>
      </c>
      <c r="B2" s="83"/>
      <c r="C2" s="83"/>
      <c r="D2" s="83"/>
    </row>
    <row r="3" spans="1:4" ht="16.649999999999999" customHeight="1"/>
    <row r="4" spans="1:4" ht="16.649999999999999" customHeight="1">
      <c r="A4" s="85" t="s">
        <v>75</v>
      </c>
      <c r="B4" s="83"/>
      <c r="C4" s="83"/>
      <c r="D4" s="83"/>
    </row>
    <row r="5" spans="1:4" ht="16.649999999999999" customHeight="1"/>
    <row r="6" spans="1:4" ht="14.1" customHeight="1">
      <c r="A6" s="84" t="s">
        <v>74</v>
      </c>
      <c r="B6" s="83"/>
      <c r="C6" s="83"/>
      <c r="D6" s="83"/>
    </row>
    <row r="7" spans="1:4" ht="16.649999999999999" customHeight="1">
      <c r="A7" s="82"/>
      <c r="B7" s="82"/>
      <c r="C7" s="82"/>
      <c r="D7" s="82"/>
    </row>
    <row r="8" spans="1:4" ht="16.649999999999999" customHeight="1">
      <c r="A8" s="81" t="s">
        <v>73</v>
      </c>
      <c r="B8" s="80" t="s">
        <v>72</v>
      </c>
      <c r="C8" s="80" t="s">
        <v>71</v>
      </c>
      <c r="D8" s="80" t="s">
        <v>70</v>
      </c>
    </row>
    <row r="9" spans="1:4" ht="16.649999999999999" customHeight="1">
      <c r="A9" s="79" t="s">
        <v>69</v>
      </c>
      <c r="B9" s="77">
        <v>15430.3</v>
      </c>
      <c r="C9" s="77">
        <v>21938.6</v>
      </c>
      <c r="D9" s="76">
        <v>21768.7</v>
      </c>
    </row>
    <row r="10" spans="1:4" ht="16.649999999999999" customHeight="1">
      <c r="A10" s="75" t="s">
        <v>68</v>
      </c>
      <c r="B10" s="74">
        <v>5743.1</v>
      </c>
      <c r="C10" s="74">
        <v>5619.9</v>
      </c>
      <c r="D10" s="73">
        <v>6494.2</v>
      </c>
    </row>
    <row r="11" spans="1:4" ht="16.649999999999999" customHeight="1">
      <c r="A11" s="78" t="s">
        <v>67</v>
      </c>
      <c r="B11" s="77">
        <v>21173.4</v>
      </c>
      <c r="C11" s="77">
        <v>27558.5</v>
      </c>
      <c r="D11" s="76">
        <v>28262.9</v>
      </c>
    </row>
    <row r="12" spans="1:4" ht="4.2" customHeight="1"/>
    <row r="13" spans="1:4" ht="16.649999999999999" customHeight="1">
      <c r="A13" s="67" t="s">
        <v>66</v>
      </c>
      <c r="B13" s="66">
        <v>-7582.3</v>
      </c>
      <c r="C13" s="66">
        <v>-10151</v>
      </c>
      <c r="D13" s="65">
        <v>-10406.9</v>
      </c>
    </row>
    <row r="14" spans="1:4" ht="16.649999999999999" customHeight="1">
      <c r="A14" s="75" t="s">
        <v>65</v>
      </c>
      <c r="B14" s="74">
        <v>-2891</v>
      </c>
      <c r="C14" s="74">
        <v>-3271.4</v>
      </c>
      <c r="D14" s="73">
        <v>-3364</v>
      </c>
    </row>
    <row r="15" spans="1:4" ht="16.649999999999999" customHeight="1">
      <c r="A15" s="78" t="s">
        <v>64</v>
      </c>
      <c r="B15" s="77">
        <v>-10473.299999999999</v>
      </c>
      <c r="C15" s="77">
        <v>-13422.4</v>
      </c>
      <c r="D15" s="76">
        <v>-13770.9</v>
      </c>
    </row>
    <row r="16" spans="1:4" ht="4.2" customHeight="1"/>
    <row r="17" spans="1:4" ht="16.649999999999999" customHeight="1">
      <c r="A17" s="78" t="s">
        <v>63</v>
      </c>
      <c r="B17" s="77">
        <v>10700.1</v>
      </c>
      <c r="C17" s="77">
        <v>14136.1</v>
      </c>
      <c r="D17" s="76">
        <v>14492</v>
      </c>
    </row>
    <row r="18" spans="1:4" ht="4.2" customHeight="1"/>
    <row r="19" spans="1:4" ht="16.649999999999999" customHeight="1">
      <c r="A19" s="67" t="s">
        <v>62</v>
      </c>
      <c r="B19" s="66">
        <v>-3253.5</v>
      </c>
      <c r="C19" s="66">
        <v>-3980.6</v>
      </c>
      <c r="D19" s="65">
        <v>-4303.7</v>
      </c>
    </row>
    <row r="20" spans="1:4" ht="16.649999999999999" customHeight="1">
      <c r="A20" s="67" t="s">
        <v>61</v>
      </c>
      <c r="B20" s="66">
        <v>-945.9</v>
      </c>
      <c r="C20" s="66">
        <v>-1113.2</v>
      </c>
      <c r="D20" s="65">
        <v>-1165.7</v>
      </c>
    </row>
    <row r="21" spans="1:4" ht="16.649999999999999" hidden="1" customHeight="1">
      <c r="A21" s="75" t="s">
        <v>60</v>
      </c>
      <c r="B21" s="74">
        <v>0</v>
      </c>
      <c r="C21" s="74">
        <v>0</v>
      </c>
      <c r="D21" s="73">
        <v>0</v>
      </c>
    </row>
    <row r="22" spans="1:4" ht="16.649999999999999" customHeight="1">
      <c r="A22" s="78" t="s">
        <v>59</v>
      </c>
      <c r="B22" s="77">
        <v>6500.7</v>
      </c>
      <c r="C22" s="77">
        <v>9042.2999999999993</v>
      </c>
      <c r="D22" s="76">
        <v>9022.6</v>
      </c>
    </row>
    <row r="23" spans="1:4" ht="4.2" customHeight="1"/>
    <row r="24" spans="1:4" ht="16.649999999999999" customHeight="1">
      <c r="A24" s="75" t="s">
        <v>58</v>
      </c>
      <c r="B24" s="74">
        <v>-44.6</v>
      </c>
      <c r="C24" s="74">
        <v>41.2</v>
      </c>
      <c r="D24" s="73">
        <v>19.8</v>
      </c>
    </row>
    <row r="25" spans="1:4" ht="16.649999999999999" customHeight="1">
      <c r="A25" s="78" t="s">
        <v>57</v>
      </c>
      <c r="B25" s="77">
        <v>6456.1</v>
      </c>
      <c r="C25" s="77">
        <v>9083.5</v>
      </c>
      <c r="D25" s="76">
        <v>9042.4</v>
      </c>
    </row>
    <row r="26" spans="1:4" ht="4.2" customHeight="1"/>
    <row r="27" spans="1:4" ht="16.649999999999999" customHeight="1">
      <c r="A27" s="75" t="s">
        <v>56</v>
      </c>
      <c r="B27" s="74">
        <v>-969.9</v>
      </c>
      <c r="C27" s="74">
        <v>-1435.8</v>
      </c>
      <c r="D27" s="73">
        <v>-1680.6</v>
      </c>
    </row>
    <row r="28" spans="1:4" ht="16.649999999999999" customHeight="1">
      <c r="A28" s="78" t="s">
        <v>55</v>
      </c>
      <c r="B28" s="77">
        <v>5486.2</v>
      </c>
      <c r="C28" s="77">
        <v>7647.7</v>
      </c>
      <c r="D28" s="76">
        <v>7361.8</v>
      </c>
    </row>
    <row r="29" spans="1:4" ht="4.2" customHeight="1"/>
    <row r="30" spans="1:4" ht="16.649999999999999" customHeight="1">
      <c r="A30" s="75" t="s">
        <v>54</v>
      </c>
      <c r="B30" s="74">
        <v>138</v>
      </c>
      <c r="C30" s="74">
        <v>191.3</v>
      </c>
      <c r="D30" s="73">
        <v>209.8</v>
      </c>
    </row>
    <row r="31" spans="1:4" ht="4.2" customHeight="1">
      <c r="A31" s="72"/>
      <c r="B31" s="71"/>
      <c r="C31" s="71"/>
      <c r="D31" s="71"/>
    </row>
    <row r="32" spans="1:4" ht="16.649999999999999" customHeight="1">
      <c r="A32" s="70" t="s">
        <v>53</v>
      </c>
      <c r="B32" s="66">
        <v>5624.2</v>
      </c>
      <c r="C32" s="66">
        <v>7839</v>
      </c>
      <c r="D32" s="65">
        <v>7571.6</v>
      </c>
    </row>
    <row r="33" spans="1:4" ht="16.649999999999999" customHeight="1"/>
    <row r="34" spans="1:4" ht="16.649999999999999" customHeight="1">
      <c r="A34" s="67" t="s">
        <v>52</v>
      </c>
      <c r="B34" s="69">
        <v>14.14</v>
      </c>
      <c r="C34" s="69">
        <v>19.91</v>
      </c>
      <c r="D34" s="68">
        <v>19.25</v>
      </c>
    </row>
    <row r="35" spans="1:4" ht="16.649999999999999" customHeight="1">
      <c r="A35" s="67" t="s">
        <v>51</v>
      </c>
      <c r="B35" s="69">
        <v>14.13</v>
      </c>
      <c r="C35" s="69">
        <v>19.89</v>
      </c>
      <c r="D35" s="68">
        <v>19.239999999999998</v>
      </c>
    </row>
    <row r="36" spans="1:4" ht="14.1" customHeight="1">
      <c r="A36" s="67" t="s">
        <v>50</v>
      </c>
    </row>
    <row r="37" spans="1:4" ht="16.649999999999999" customHeight="1">
      <c r="A37" s="67" t="s">
        <v>49</v>
      </c>
      <c r="B37" s="66">
        <v>397.7</v>
      </c>
      <c r="C37" s="66">
        <v>393.8</v>
      </c>
      <c r="D37" s="65">
        <v>393.3</v>
      </c>
    </row>
    <row r="38" spans="1:4" ht="16.649999999999999" customHeight="1">
      <c r="A38" s="67" t="s">
        <v>48</v>
      </c>
      <c r="B38" s="66">
        <v>398</v>
      </c>
      <c r="C38" s="66">
        <v>394.1</v>
      </c>
      <c r="D38" s="65">
        <v>393.6</v>
      </c>
    </row>
    <row r="39" spans="1:4" ht="16.649999999999999" customHeight="1"/>
    <row r="40" spans="1:4" ht="16.649999999999999" customHeight="1"/>
    <row r="41" spans="1:4" ht="16.649999999999999" customHeight="1"/>
    <row r="42" spans="1:4" ht="16.649999999999999" customHeight="1"/>
    <row r="43" spans="1:4" ht="16.649999999999999" customHeight="1"/>
    <row r="44" spans="1:4" ht="16.649999999999999" customHeight="1"/>
    <row r="45" spans="1:4" ht="16.649999999999999" customHeight="1"/>
    <row r="46" spans="1:4" ht="16.649999999999999" customHeight="1"/>
    <row r="47" spans="1:4" ht="16.649999999999999" customHeight="1"/>
    <row r="48" spans="1:4" ht="16.649999999999999" customHeight="1"/>
    <row r="49" s="64" customFormat="1" ht="16.649999999999999" customHeight="1"/>
    <row r="50" s="64" customFormat="1" ht="16.649999999999999" customHeight="1"/>
    <row r="51" s="64" customFormat="1" ht="16.649999999999999" customHeight="1"/>
    <row r="52" s="64" customFormat="1" ht="16.649999999999999" customHeight="1"/>
    <row r="53" s="64" customFormat="1" ht="16.649999999999999" customHeight="1"/>
    <row r="54" s="64" customFormat="1" ht="16.649999999999999" customHeight="1"/>
    <row r="55" s="64" customFormat="1" ht="16.649999999999999" customHeight="1"/>
    <row r="56" s="64" customFormat="1" ht="16.649999999999999" customHeight="1"/>
    <row r="57" s="64" customFormat="1" ht="16.649999999999999" customHeight="1"/>
    <row r="58" s="64" customFormat="1" ht="16.649999999999999" customHeight="1"/>
    <row r="59" s="64" customFormat="1" ht="16.649999999999999" customHeight="1"/>
    <row r="60" s="64" customFormat="1" ht="16.649999999999999" customHeight="1"/>
    <row r="61" s="64" customFormat="1" ht="16.649999999999999" customHeight="1"/>
    <row r="62" s="64" customFormat="1" ht="16.649999999999999" customHeight="1"/>
    <row r="63" s="64" customFormat="1" ht="16.649999999999999" customHeight="1"/>
    <row r="64" s="64" customFormat="1" ht="16.649999999999999" customHeight="1"/>
    <row r="65" s="64" customFormat="1" ht="16.649999999999999" customHeight="1"/>
    <row r="66" s="64" customFormat="1" ht="16.649999999999999" customHeight="1"/>
    <row r="67" s="64" customFormat="1" ht="16.649999999999999" customHeight="1"/>
    <row r="68" s="64" customFormat="1" ht="16.649999999999999" customHeight="1"/>
    <row r="69" s="64" customFormat="1" ht="16.649999999999999" customHeight="1"/>
    <row r="70" s="64" customFormat="1" ht="16.649999999999999" customHeight="1"/>
    <row r="71" s="64" customFormat="1" ht="16.649999999999999" customHeight="1"/>
    <row r="72" s="64" customFormat="1" ht="16.649999999999999" customHeight="1"/>
    <row r="73" s="64" customFormat="1" ht="16.649999999999999" customHeight="1"/>
    <row r="74" s="64" customFormat="1" ht="16.649999999999999" customHeight="1"/>
    <row r="75" s="64" customFormat="1" ht="16.649999999999999" customHeight="1"/>
    <row r="76" s="64" customFormat="1" ht="16.649999999999999" customHeight="1"/>
    <row r="77" s="64" customFormat="1" ht="16.649999999999999" customHeight="1"/>
    <row r="78" s="64" customFormat="1" ht="16.649999999999999" customHeight="1"/>
    <row r="79" s="64" customFormat="1" ht="16.649999999999999" customHeight="1"/>
    <row r="80" s="64" customFormat="1" ht="16.649999999999999" customHeight="1"/>
    <row r="81" s="64" customFormat="1" ht="16.649999999999999" customHeight="1"/>
    <row r="82" s="64" customFormat="1" ht="16.649999999999999" customHeight="1"/>
    <row r="83" s="64" customFormat="1" ht="16.649999999999999" customHeight="1"/>
    <row r="84" s="64" customFormat="1" ht="16.649999999999999" customHeight="1"/>
    <row r="85" s="64" customFormat="1" ht="16.649999999999999" customHeight="1"/>
    <row r="86" s="64" customFormat="1" ht="16.649999999999999" customHeight="1"/>
    <row r="87" s="64" customFormat="1" ht="16.649999999999999" customHeight="1"/>
    <row r="88" s="64" customFormat="1" ht="16.649999999999999" customHeight="1"/>
    <row r="89" s="64" customFormat="1" ht="16.649999999999999" customHeight="1"/>
    <row r="90" s="64" customFormat="1" ht="16.649999999999999" customHeight="1"/>
    <row r="91" s="64" customFormat="1" ht="16.649999999999999" customHeight="1"/>
    <row r="92" s="64" customFormat="1" ht="16.649999999999999" customHeight="1"/>
    <row r="93" s="64" customFormat="1" ht="16.649999999999999" customHeight="1"/>
    <row r="94" s="64" customFormat="1" ht="16.649999999999999" customHeight="1"/>
    <row r="95" s="64" customFormat="1" ht="16.649999999999999" customHeight="1"/>
    <row r="96" s="64" customFormat="1" ht="16.649999999999999" customHeight="1"/>
    <row r="97" s="64" customFormat="1" ht="16.649999999999999" customHeight="1"/>
    <row r="98" s="64" customFormat="1" ht="16.649999999999999" customHeight="1"/>
    <row r="99" s="64" customFormat="1" ht="16.649999999999999" customHeight="1"/>
    <row r="100" s="64" customFormat="1" ht="16.649999999999999" customHeight="1"/>
    <row r="101" s="64" customFormat="1" ht="16.649999999999999" customHeight="1"/>
    <row r="102" s="64" customFormat="1" ht="16.649999999999999" customHeight="1"/>
    <row r="103" s="64" customFormat="1" ht="16.649999999999999" customHeight="1"/>
    <row r="104" s="64" customFormat="1" ht="16.649999999999999" customHeight="1"/>
  </sheetData>
  <mergeCells count="3">
    <mergeCell ref="A2:D2"/>
    <mergeCell ref="A4:D4"/>
    <mergeCell ref="A6:D6"/>
  </mergeCells>
  <pageMargins left="0.75" right="0.75" top="1" bottom="1" header="0.5" footer="0.5"/>
  <headerFooter>
    <oddFooter>&amp;R_x000D_&amp;1#&amp;"Arial"&amp;7&amp;K000000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8FC0-0920-4A55-BEF0-2EF6BA8A4003}">
  <dimension ref="A1:D98"/>
  <sheetViews>
    <sheetView showGridLines="0" showRuler="0" workbookViewId="0"/>
  </sheetViews>
  <sheetFormatPr defaultColWidth="12.62890625" defaultRowHeight="12.3"/>
  <cols>
    <col min="1" max="1" width="49.47265625" style="64" customWidth="1"/>
    <col min="2" max="25" width="19.05078125" style="64" customWidth="1"/>
    <col min="26" max="16384" width="12.62890625" style="64"/>
  </cols>
  <sheetData>
    <row r="1" spans="1:4" ht="16.649999999999999" customHeight="1">
      <c r="A1" s="86" t="s">
        <v>77</v>
      </c>
    </row>
    <row r="2" spans="1:4" ht="32.4" customHeight="1">
      <c r="A2" s="85" t="s">
        <v>76</v>
      </c>
      <c r="B2" s="83"/>
      <c r="C2" s="83"/>
      <c r="D2" s="83"/>
    </row>
    <row r="3" spans="1:4" ht="16.649999999999999" customHeight="1"/>
    <row r="4" spans="1:4" ht="14.1" customHeight="1">
      <c r="A4" s="85" t="s">
        <v>75</v>
      </c>
      <c r="B4" s="83"/>
      <c r="C4" s="83"/>
      <c r="D4" s="83"/>
    </row>
    <row r="5" spans="1:4" ht="16.649999999999999" customHeight="1"/>
    <row r="6" spans="1:4" ht="15.75" customHeight="1">
      <c r="A6" s="84" t="s">
        <v>89</v>
      </c>
      <c r="B6" s="83"/>
      <c r="C6" s="83"/>
      <c r="D6" s="83"/>
    </row>
    <row r="7" spans="1:4" ht="16.649999999999999" customHeight="1">
      <c r="A7" s="88"/>
      <c r="B7" s="88"/>
      <c r="C7" s="88"/>
      <c r="D7" s="88"/>
    </row>
    <row r="8" spans="1:4" ht="16.649999999999999" customHeight="1">
      <c r="A8" s="81" t="s">
        <v>88</v>
      </c>
      <c r="B8" s="87">
        <v>2022</v>
      </c>
      <c r="C8" s="87">
        <v>2023</v>
      </c>
      <c r="D8" s="87">
        <v>2024</v>
      </c>
    </row>
    <row r="9" spans="1:4" ht="16.649999999999999" customHeight="1">
      <c r="A9" s="78" t="s">
        <v>53</v>
      </c>
      <c r="B9" s="77">
        <v>5624.2</v>
      </c>
      <c r="C9" s="77">
        <v>7839</v>
      </c>
      <c r="D9" s="76">
        <v>7571.6</v>
      </c>
    </row>
    <row r="10" spans="1:4" ht="16.649999999999999" customHeight="1"/>
    <row r="11" spans="1:4" ht="16.649999999999999" customHeight="1">
      <c r="A11" s="70" t="s">
        <v>87</v>
      </c>
    </row>
    <row r="12" spans="1:4" ht="13.35" customHeight="1">
      <c r="A12" s="67" t="s">
        <v>86</v>
      </c>
      <c r="B12" s="66">
        <v>37.700000000000003</v>
      </c>
      <c r="C12" s="66">
        <v>0.2</v>
      </c>
      <c r="D12" s="65">
        <v>-12.1</v>
      </c>
    </row>
    <row r="13" spans="1:4" ht="16.649999999999999" customHeight="1"/>
    <row r="14" spans="1:4" ht="16.649999999999999" customHeight="1">
      <c r="A14" s="70" t="s">
        <v>85</v>
      </c>
    </row>
    <row r="15" spans="1:4" ht="13.35" customHeight="1">
      <c r="A15" s="67" t="s">
        <v>84</v>
      </c>
      <c r="B15" s="66">
        <v>66</v>
      </c>
      <c r="C15" s="66">
        <v>-68.3</v>
      </c>
      <c r="D15" s="65">
        <v>91.9</v>
      </c>
    </row>
    <row r="16" spans="1:4" ht="16.649999999999999" customHeight="1"/>
    <row r="17" spans="1:4" ht="16.649999999999999" customHeight="1">
      <c r="A17" s="70" t="s">
        <v>83</v>
      </c>
    </row>
    <row r="18" spans="1:4" ht="16.649999999999999" customHeight="1">
      <c r="A18" s="67" t="s">
        <v>82</v>
      </c>
      <c r="B18" s="66">
        <v>57.6</v>
      </c>
      <c r="C18" s="66">
        <v>-15.8</v>
      </c>
      <c r="D18" s="65">
        <v>38.200000000000003</v>
      </c>
    </row>
    <row r="19" spans="1:4" ht="16.649999999999999" customHeight="1">
      <c r="A19" s="75" t="s">
        <v>81</v>
      </c>
      <c r="B19" s="74">
        <v>-66.5</v>
      </c>
      <c r="C19" s="74">
        <v>0.6</v>
      </c>
      <c r="D19" s="73">
        <v>-8.9</v>
      </c>
    </row>
    <row r="20" spans="1:4" ht="16.649999999999999" customHeight="1">
      <c r="A20" s="78" t="s">
        <v>80</v>
      </c>
      <c r="B20" s="77">
        <v>94.8</v>
      </c>
      <c r="C20" s="77">
        <v>-83.3</v>
      </c>
      <c r="D20" s="76">
        <v>109.1</v>
      </c>
    </row>
    <row r="21" spans="1:4" ht="16.649999999999999" customHeight="1"/>
    <row r="22" spans="1:4" ht="16.649999999999999" customHeight="1">
      <c r="A22" s="70" t="s">
        <v>79</v>
      </c>
      <c r="B22" s="66">
        <v>5719</v>
      </c>
      <c r="C22" s="66">
        <v>7755.7</v>
      </c>
      <c r="D22" s="65">
        <v>7680.7</v>
      </c>
    </row>
    <row r="23" spans="1:4" ht="16.649999999999999" customHeight="1">
      <c r="A23" s="67" t="s">
        <v>78</v>
      </c>
      <c r="B23" s="66">
        <v>5719</v>
      </c>
      <c r="C23" s="66">
        <v>7755.7</v>
      </c>
      <c r="D23" s="65">
        <v>7680.7</v>
      </c>
    </row>
    <row r="24" spans="1:4" ht="16.649999999999999" customHeight="1"/>
    <row r="25" spans="1:4" ht="16.649999999999999" customHeight="1"/>
    <row r="26" spans="1:4" ht="16.649999999999999" customHeight="1"/>
    <row r="27" spans="1:4" ht="16.649999999999999" customHeight="1"/>
    <row r="28" spans="1:4" ht="16.649999999999999" customHeight="1"/>
    <row r="29" spans="1:4" ht="16.649999999999999" customHeight="1"/>
    <row r="30" spans="1:4" ht="16.649999999999999" customHeight="1"/>
    <row r="31" spans="1:4" ht="16.649999999999999" customHeight="1"/>
    <row r="32" spans="1:4" ht="16.649999999999999" customHeight="1"/>
    <row r="33" s="64" customFormat="1" ht="16.649999999999999" customHeight="1"/>
    <row r="34" s="64" customFormat="1" ht="16.649999999999999" customHeight="1"/>
    <row r="35" s="64" customFormat="1" ht="16.649999999999999" customHeight="1"/>
    <row r="36" s="64" customFormat="1" ht="16.649999999999999" customHeight="1"/>
    <row r="37" s="64" customFormat="1" ht="16.649999999999999" customHeight="1"/>
    <row r="38" s="64" customFormat="1" ht="16.649999999999999" customHeight="1"/>
    <row r="39" s="64" customFormat="1" ht="16.649999999999999" customHeight="1"/>
    <row r="40" s="64" customFormat="1" ht="16.649999999999999" customHeight="1"/>
    <row r="41" s="64" customFormat="1" ht="16.649999999999999" customHeight="1"/>
    <row r="42" s="64" customFormat="1" ht="16.649999999999999" customHeight="1"/>
    <row r="43" s="64" customFormat="1" ht="16.649999999999999" customHeight="1"/>
    <row r="44" s="64" customFormat="1" ht="16.649999999999999" customHeight="1"/>
    <row r="45" s="64" customFormat="1" ht="16.649999999999999" customHeight="1"/>
    <row r="46" s="64" customFormat="1" ht="16.649999999999999" customHeight="1"/>
    <row r="47" s="64" customFormat="1" ht="16.649999999999999" customHeight="1"/>
    <row r="48" s="64" customFormat="1" ht="16.649999999999999" customHeight="1"/>
    <row r="49" s="64" customFormat="1" ht="16.649999999999999" customHeight="1"/>
    <row r="50" s="64" customFormat="1" ht="16.649999999999999" customHeight="1"/>
    <row r="51" s="64" customFormat="1" ht="16.649999999999999" customHeight="1"/>
    <row r="52" s="64" customFormat="1" ht="16.649999999999999" customHeight="1"/>
    <row r="53" s="64" customFormat="1" ht="16.649999999999999" customHeight="1"/>
    <row r="54" s="64" customFormat="1" ht="16.649999999999999" customHeight="1"/>
    <row r="55" s="64" customFormat="1" ht="16.649999999999999" customHeight="1"/>
    <row r="56" s="64" customFormat="1" ht="16.649999999999999" customHeight="1"/>
    <row r="57" s="64" customFormat="1" ht="16.649999999999999" customHeight="1"/>
    <row r="58" s="64" customFormat="1" ht="16.649999999999999" customHeight="1"/>
    <row r="59" s="64" customFormat="1" ht="16.649999999999999" customHeight="1"/>
    <row r="60" s="64" customFormat="1" ht="16.649999999999999" customHeight="1"/>
    <row r="61" s="64" customFormat="1" ht="16.649999999999999" customHeight="1"/>
    <row r="62" s="64" customFormat="1" ht="16.649999999999999" customHeight="1"/>
    <row r="63" s="64" customFormat="1" ht="16.649999999999999" customHeight="1"/>
    <row r="64" s="64" customFormat="1" ht="16.649999999999999" customHeight="1"/>
    <row r="65" s="64" customFormat="1" ht="16.649999999999999" customHeight="1"/>
    <row r="66" s="64" customFormat="1" ht="16.649999999999999" customHeight="1"/>
    <row r="67" s="64" customFormat="1" ht="16.649999999999999" customHeight="1"/>
    <row r="68" s="64" customFormat="1" ht="16.649999999999999" customHeight="1"/>
    <row r="69" s="64" customFormat="1" ht="16.649999999999999" customHeight="1"/>
    <row r="70" s="64" customFormat="1" ht="16.649999999999999" customHeight="1"/>
    <row r="71" s="64" customFormat="1" ht="16.649999999999999" customHeight="1"/>
    <row r="72" s="64" customFormat="1" ht="16.649999999999999" customHeight="1"/>
    <row r="73" s="64" customFormat="1" ht="16.649999999999999" customHeight="1"/>
    <row r="74" s="64" customFormat="1" ht="16.649999999999999" customHeight="1"/>
    <row r="75" s="64" customFormat="1" ht="16.649999999999999" customHeight="1"/>
    <row r="76" s="64" customFormat="1" ht="16.649999999999999" customHeight="1"/>
    <row r="77" s="64" customFormat="1" ht="16.649999999999999" customHeight="1"/>
    <row r="78" s="64" customFormat="1" ht="16.649999999999999" customHeight="1"/>
    <row r="79" s="64" customFormat="1" ht="16.649999999999999" customHeight="1"/>
    <row r="80" s="64" customFormat="1" ht="16.649999999999999" customHeight="1"/>
    <row r="81" s="64" customFormat="1" ht="16.649999999999999" customHeight="1"/>
    <row r="82" s="64" customFormat="1" ht="16.649999999999999" customHeight="1"/>
    <row r="83" s="64" customFormat="1" ht="16.649999999999999" customHeight="1"/>
    <row r="84" s="64" customFormat="1" ht="16.649999999999999" customHeight="1"/>
    <row r="85" s="64" customFormat="1" ht="16.649999999999999" customHeight="1"/>
    <row r="86" s="64" customFormat="1" ht="16.649999999999999" customHeight="1"/>
    <row r="87" s="64" customFormat="1" ht="16.649999999999999" customHeight="1"/>
    <row r="88" s="64" customFormat="1" ht="16.649999999999999" customHeight="1"/>
    <row r="89" s="64" customFormat="1" ht="16.649999999999999" customHeight="1"/>
    <row r="90" s="64" customFormat="1" ht="16.649999999999999" customHeight="1"/>
    <row r="91" s="64" customFormat="1" ht="16.649999999999999" customHeight="1"/>
    <row r="92" s="64" customFormat="1" ht="16.649999999999999" customHeight="1"/>
    <row r="93" s="64" customFormat="1" ht="16.649999999999999" customHeight="1"/>
    <row r="94" s="64" customFormat="1" ht="16.649999999999999" customHeight="1"/>
    <row r="95" s="64" customFormat="1" ht="16.649999999999999" customHeight="1"/>
    <row r="96" s="64" customFormat="1" ht="16.649999999999999" customHeight="1"/>
    <row r="97" s="64" customFormat="1" ht="16.649999999999999" customHeight="1"/>
    <row r="98" s="64" customFormat="1" ht="16.649999999999999" customHeight="1"/>
  </sheetData>
  <mergeCells count="3">
    <mergeCell ref="A2:D2"/>
    <mergeCell ref="A4:D4"/>
    <mergeCell ref="A6:D6"/>
  </mergeCells>
  <pageMargins left="0.75" right="0.75" top="1" bottom="1" header="0.5" footer="0.5"/>
  <headerFooter>
    <oddFooter>&amp;R_x000D_&amp;1#&amp;"Arial"&amp;7&amp;K000000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2054-041A-4FC9-920D-1ECB1CA9F925}">
  <dimension ref="A1:D89"/>
  <sheetViews>
    <sheetView showGridLines="0" showRuler="0" workbookViewId="0"/>
  </sheetViews>
  <sheetFormatPr defaultColWidth="12.62890625" defaultRowHeight="12.3"/>
  <cols>
    <col min="1" max="1" width="56.9453125" style="64" customWidth="1"/>
    <col min="2" max="25" width="19.05078125" style="64" customWidth="1"/>
    <col min="26" max="16384" width="12.62890625" style="64"/>
  </cols>
  <sheetData>
    <row r="1" spans="1:4" ht="16.649999999999999" customHeight="1">
      <c r="A1" s="86" t="s">
        <v>77</v>
      </c>
    </row>
    <row r="2" spans="1:4" ht="32.549999999999997" customHeight="1">
      <c r="A2" s="85" t="s">
        <v>76</v>
      </c>
      <c r="B2" s="83"/>
      <c r="C2" s="83"/>
      <c r="D2" s="83"/>
    </row>
    <row r="3" spans="1:4" ht="16.649999999999999" customHeight="1"/>
    <row r="4" spans="1:4" ht="14.1" customHeight="1">
      <c r="A4" s="85" t="s">
        <v>75</v>
      </c>
      <c r="B4" s="83"/>
      <c r="C4" s="83"/>
      <c r="D4" s="83"/>
    </row>
    <row r="5" spans="1:4" ht="16.649999999999999" customHeight="1"/>
    <row r="6" spans="1:4" ht="15.75" customHeight="1">
      <c r="A6" s="84" t="s">
        <v>131</v>
      </c>
      <c r="B6" s="83"/>
      <c r="C6" s="83"/>
    </row>
    <row r="7" spans="1:4" ht="16.649999999999999" customHeight="1">
      <c r="A7" s="89"/>
      <c r="B7" s="89"/>
      <c r="C7" s="89"/>
    </row>
    <row r="8" spans="1:4" ht="16.649999999999999" customHeight="1">
      <c r="A8" s="81" t="s">
        <v>130</v>
      </c>
      <c r="B8" s="87">
        <v>2023</v>
      </c>
      <c r="C8" s="87">
        <v>2024</v>
      </c>
    </row>
    <row r="9" spans="1:4" ht="16.649999999999999" customHeight="1">
      <c r="A9" s="72"/>
      <c r="B9" s="71"/>
      <c r="C9" s="71"/>
    </row>
    <row r="10" spans="1:4" ht="16.649999999999999" customHeight="1">
      <c r="A10" s="70" t="s">
        <v>129</v>
      </c>
    </row>
    <row r="11" spans="1:4" ht="16.649999999999999" customHeight="1">
      <c r="A11" s="67" t="s">
        <v>128</v>
      </c>
      <c r="B11" s="66">
        <v>7004.7</v>
      </c>
      <c r="C11" s="65">
        <v>12735.9</v>
      </c>
    </row>
    <row r="12" spans="1:4" ht="16.649999999999999" customHeight="1">
      <c r="A12" s="67" t="s">
        <v>127</v>
      </c>
      <c r="B12" s="66">
        <v>5.4</v>
      </c>
      <c r="C12" s="65">
        <v>5.4</v>
      </c>
    </row>
    <row r="13" spans="1:4" ht="16.649999999999999" customHeight="1">
      <c r="A13" s="67" t="s">
        <v>126</v>
      </c>
      <c r="B13" s="66">
        <v>4334.1000000000004</v>
      </c>
      <c r="C13" s="65">
        <v>4477.5</v>
      </c>
    </row>
    <row r="14" spans="1:4" ht="16.649999999999999" customHeight="1">
      <c r="A14" s="67" t="s">
        <v>121</v>
      </c>
      <c r="B14" s="66">
        <v>1379.2</v>
      </c>
      <c r="C14" s="65">
        <v>82.6</v>
      </c>
    </row>
    <row r="15" spans="1:4" ht="16.649999999999999" customHeight="1">
      <c r="A15" s="67" t="s">
        <v>125</v>
      </c>
      <c r="B15" s="66">
        <v>1001.2</v>
      </c>
      <c r="C15" s="65">
        <v>283.60000000000002</v>
      </c>
    </row>
    <row r="16" spans="1:4" ht="16.649999999999999" customHeight="1">
      <c r="A16" s="67" t="s">
        <v>124</v>
      </c>
      <c r="B16" s="66">
        <v>240.1</v>
      </c>
      <c r="C16" s="65">
        <v>320.60000000000002</v>
      </c>
    </row>
    <row r="17" spans="1:3" ht="16.649999999999999" customHeight="1">
      <c r="A17" s="67" t="s">
        <v>123</v>
      </c>
      <c r="B17" s="66">
        <v>8850.7000000000007</v>
      </c>
      <c r="C17" s="65">
        <v>10891.5</v>
      </c>
    </row>
    <row r="18" spans="1:3" ht="16.649999999999999" customHeight="1">
      <c r="A18" s="75" t="s">
        <v>118</v>
      </c>
      <c r="B18" s="74">
        <v>1578.5</v>
      </c>
      <c r="C18" s="73">
        <v>1940.3</v>
      </c>
    </row>
    <row r="19" spans="1:3" ht="16.649999999999999" customHeight="1">
      <c r="A19" s="78" t="s">
        <v>122</v>
      </c>
      <c r="B19" s="77">
        <v>24393.9</v>
      </c>
      <c r="C19" s="76">
        <v>30737.4</v>
      </c>
    </row>
    <row r="20" spans="1:3" ht="16.649999999999999" customHeight="1"/>
    <row r="21" spans="1:3" ht="16.649999999999999" customHeight="1">
      <c r="A21" s="67" t="s">
        <v>121</v>
      </c>
      <c r="B21" s="66">
        <v>60.6</v>
      </c>
      <c r="C21" s="65">
        <v>317.2</v>
      </c>
    </row>
    <row r="22" spans="1:3" ht="16.649999999999999" customHeight="1">
      <c r="A22" s="67" t="s">
        <v>120</v>
      </c>
      <c r="B22" s="66">
        <v>1872.3</v>
      </c>
      <c r="C22" s="65">
        <v>1940.7</v>
      </c>
    </row>
    <row r="23" spans="1:3" ht="16.649999999999999" customHeight="1">
      <c r="A23" s="67" t="s">
        <v>119</v>
      </c>
      <c r="B23" s="66">
        <v>929.2</v>
      </c>
      <c r="C23" s="65">
        <v>1456.6</v>
      </c>
    </row>
    <row r="24" spans="1:3" ht="16.649999999999999" customHeight="1">
      <c r="A24" s="67" t="s">
        <v>118</v>
      </c>
      <c r="B24" s="66">
        <v>651.79999999999995</v>
      </c>
      <c r="C24" s="65">
        <v>790.8</v>
      </c>
    </row>
    <row r="25" spans="1:3" ht="16.649999999999999" customHeight="1">
      <c r="A25" s="67" t="s">
        <v>117</v>
      </c>
      <c r="B25" s="66">
        <v>919.6</v>
      </c>
      <c r="C25" s="65">
        <v>903</v>
      </c>
    </row>
    <row r="26" spans="1:3" ht="16.649999999999999" customHeight="1">
      <c r="A26" s="67" t="s">
        <v>116</v>
      </c>
      <c r="B26" s="66">
        <v>4588.6000000000004</v>
      </c>
      <c r="C26" s="65">
        <v>4588.6000000000004</v>
      </c>
    </row>
    <row r="27" spans="1:3" ht="16.649999999999999" customHeight="1">
      <c r="A27" s="67" t="s">
        <v>115</v>
      </c>
      <c r="B27" s="66">
        <v>741.7</v>
      </c>
      <c r="C27" s="65">
        <v>621.29999999999995</v>
      </c>
    </row>
    <row r="28" spans="1:3" ht="16.649999999999999" customHeight="1">
      <c r="A28" s="67" t="s">
        <v>114</v>
      </c>
      <c r="B28" s="66">
        <v>5493.2</v>
      </c>
      <c r="C28" s="65">
        <v>6846.8</v>
      </c>
    </row>
    <row r="29" spans="1:3" ht="16.649999999999999" customHeight="1">
      <c r="A29" s="75" t="s">
        <v>113</v>
      </c>
      <c r="B29" s="74">
        <v>306.60000000000002</v>
      </c>
      <c r="C29" s="73">
        <v>387.2</v>
      </c>
    </row>
    <row r="30" spans="1:3" ht="16.649999999999999" customHeight="1">
      <c r="A30" s="78" t="s">
        <v>112</v>
      </c>
      <c r="B30" s="77">
        <v>15563.6</v>
      </c>
      <c r="C30" s="76">
        <v>17852.2</v>
      </c>
    </row>
    <row r="31" spans="1:3" ht="16.649999999999999" customHeight="1"/>
    <row r="32" spans="1:3" ht="16.649999999999999" customHeight="1">
      <c r="A32" s="70" t="s">
        <v>111</v>
      </c>
      <c r="B32" s="66">
        <v>39957.5</v>
      </c>
      <c r="C32" s="65">
        <v>48589.599999999999</v>
      </c>
    </row>
    <row r="33" spans="1:3" ht="16.649999999999999" customHeight="1"/>
    <row r="34" spans="1:3" ht="16.649999999999999" customHeight="1">
      <c r="A34" s="70" t="s">
        <v>110</v>
      </c>
    </row>
    <row r="35" spans="1:3" ht="16.649999999999999" customHeight="1">
      <c r="A35" s="67" t="s">
        <v>109</v>
      </c>
      <c r="B35" s="66">
        <v>2347.3000000000002</v>
      </c>
      <c r="C35" s="65">
        <v>3500.4</v>
      </c>
    </row>
    <row r="36" spans="1:3" ht="16.649999999999999" customHeight="1">
      <c r="A36" s="67" t="s">
        <v>102</v>
      </c>
      <c r="B36" s="66">
        <v>2177.4</v>
      </c>
      <c r="C36" s="65">
        <v>2686.6</v>
      </c>
    </row>
    <row r="37" spans="1:3" ht="16.649999999999999" customHeight="1">
      <c r="A37" s="67" t="s">
        <v>108</v>
      </c>
      <c r="B37" s="66">
        <v>308.89999999999998</v>
      </c>
      <c r="C37" s="65">
        <v>283.3</v>
      </c>
    </row>
    <row r="38" spans="1:3" ht="16.649999999999999" customHeight="1">
      <c r="A38" s="67" t="s">
        <v>107</v>
      </c>
      <c r="B38" s="66">
        <v>0.1</v>
      </c>
      <c r="C38" s="65">
        <v>1010.3</v>
      </c>
    </row>
    <row r="39" spans="1:3" ht="16.649999999999999" customHeight="1">
      <c r="A39" s="75" t="s">
        <v>103</v>
      </c>
      <c r="B39" s="74">
        <v>11441</v>
      </c>
      <c r="C39" s="73">
        <v>12570.8</v>
      </c>
    </row>
    <row r="40" spans="1:3" ht="16.649999999999999" customHeight="1">
      <c r="A40" s="78" t="s">
        <v>106</v>
      </c>
      <c r="B40" s="77">
        <v>16274.7</v>
      </c>
      <c r="C40" s="76">
        <v>20051.400000000001</v>
      </c>
    </row>
    <row r="41" spans="1:3" ht="16.649999999999999" customHeight="1"/>
    <row r="42" spans="1:3" ht="16.649999999999999" customHeight="1">
      <c r="A42" s="67" t="s">
        <v>105</v>
      </c>
      <c r="B42" s="66">
        <v>4631.5</v>
      </c>
      <c r="C42" s="65">
        <v>3677.3</v>
      </c>
    </row>
    <row r="43" spans="1:3" ht="16.649999999999999" customHeight="1">
      <c r="A43" s="67" t="s">
        <v>104</v>
      </c>
      <c r="B43" s="66">
        <v>372.2</v>
      </c>
      <c r="C43" s="65">
        <v>299.2</v>
      </c>
    </row>
    <row r="44" spans="1:3" ht="16.649999999999999" customHeight="1">
      <c r="A44" s="67" t="s">
        <v>103</v>
      </c>
      <c r="B44" s="66">
        <v>4825.5</v>
      </c>
      <c r="C44" s="65">
        <v>5625.4</v>
      </c>
    </row>
    <row r="45" spans="1:3" ht="16.649999999999999" customHeight="1">
      <c r="A45" s="75" t="s">
        <v>102</v>
      </c>
      <c r="B45" s="74">
        <v>401.2</v>
      </c>
      <c r="C45" s="73">
        <v>459.5</v>
      </c>
    </row>
    <row r="46" spans="1:3" ht="16.649999999999999" customHeight="1">
      <c r="A46" s="78" t="s">
        <v>101</v>
      </c>
      <c r="B46" s="77">
        <v>10230.4</v>
      </c>
      <c r="C46" s="76">
        <v>10061.4</v>
      </c>
    </row>
    <row r="47" spans="1:3" ht="16.649999999999999" customHeight="1"/>
    <row r="48" spans="1:3" ht="16.649999999999999" customHeight="1">
      <c r="A48" s="70" t="s">
        <v>100</v>
      </c>
      <c r="B48" s="66">
        <v>26505.1</v>
      </c>
      <c r="C48" s="65">
        <v>30112.799999999999</v>
      </c>
    </row>
    <row r="49" spans="1:3" ht="16.649999999999999" customHeight="1"/>
    <row r="50" spans="1:3" ht="16.649999999999999" customHeight="1">
      <c r="A50" s="67" t="s">
        <v>99</v>
      </c>
    </row>
    <row r="51" spans="1:3" ht="13.35" customHeight="1">
      <c r="A51" s="67" t="s">
        <v>98</v>
      </c>
    </row>
    <row r="52" spans="1:3" ht="13.35" customHeight="1">
      <c r="A52" s="67" t="s">
        <v>97</v>
      </c>
    </row>
    <row r="53" spans="1:3" ht="16.649999999999999" customHeight="1">
      <c r="A53" s="67" t="s">
        <v>96</v>
      </c>
      <c r="B53" s="66">
        <v>36</v>
      </c>
      <c r="C53" s="65">
        <v>35.4</v>
      </c>
    </row>
    <row r="54" spans="1:3" ht="16.649999999999999" customHeight="1">
      <c r="A54" s="67" t="s">
        <v>95</v>
      </c>
      <c r="B54" s="66">
        <v>3998.1</v>
      </c>
      <c r="C54" s="65">
        <v>4049</v>
      </c>
    </row>
    <row r="55" spans="1:3" ht="16.649999999999999" customHeight="1">
      <c r="A55" s="67" t="s">
        <v>94</v>
      </c>
      <c r="B55" s="66">
        <v>-3306.2</v>
      </c>
      <c r="C55" s="65">
        <v>-476</v>
      </c>
    </row>
    <row r="56" spans="1:3" ht="16.649999999999999" customHeight="1">
      <c r="A56" s="67" t="s">
        <v>93</v>
      </c>
      <c r="B56" s="66">
        <v>12379.5</v>
      </c>
      <c r="C56" s="65">
        <v>14414.3</v>
      </c>
    </row>
    <row r="57" spans="1:3" ht="16.649999999999999" customHeight="1">
      <c r="A57" s="75" t="s">
        <v>92</v>
      </c>
      <c r="B57" s="74">
        <v>345</v>
      </c>
      <c r="C57" s="73">
        <v>454.1</v>
      </c>
    </row>
    <row r="58" spans="1:3" ht="16.649999999999999" customHeight="1">
      <c r="A58" s="78" t="s">
        <v>91</v>
      </c>
      <c r="B58" s="77">
        <v>13452.4</v>
      </c>
      <c r="C58" s="76">
        <v>18476.8</v>
      </c>
    </row>
    <row r="59" spans="1:3" ht="16.649999999999999" customHeight="1"/>
    <row r="60" spans="1:3" ht="16.649999999999999" customHeight="1">
      <c r="A60" s="70" t="s">
        <v>90</v>
      </c>
      <c r="B60" s="66">
        <v>39957.5</v>
      </c>
      <c r="C60" s="65">
        <v>48589.599999999999</v>
      </c>
    </row>
    <row r="61" spans="1:3" ht="16.649999999999999" customHeight="1"/>
    <row r="62" spans="1:3" ht="16.649999999999999" customHeight="1"/>
    <row r="63" spans="1:3" ht="16.649999999999999" customHeight="1"/>
    <row r="64" spans="1:3" ht="16.649999999999999" customHeight="1"/>
    <row r="65" s="64" customFormat="1" ht="16.649999999999999" customHeight="1"/>
    <row r="66" s="64" customFormat="1" ht="16.649999999999999" customHeight="1"/>
    <row r="67" s="64" customFormat="1" ht="16.649999999999999" customHeight="1"/>
    <row r="68" s="64" customFormat="1" ht="16.649999999999999" customHeight="1"/>
    <row r="69" s="64" customFormat="1" ht="16.649999999999999" customHeight="1"/>
    <row r="70" s="64" customFormat="1" ht="16.649999999999999" customHeight="1"/>
    <row r="71" s="64" customFormat="1" ht="16.649999999999999" customHeight="1"/>
    <row r="72" s="64" customFormat="1" ht="16.649999999999999" customHeight="1"/>
    <row r="73" s="64" customFormat="1" ht="16.649999999999999" customHeight="1"/>
    <row r="74" s="64" customFormat="1" ht="16.649999999999999" customHeight="1"/>
    <row r="75" s="64" customFormat="1" ht="16.649999999999999" customHeight="1"/>
    <row r="76" s="64" customFormat="1" ht="16.649999999999999" customHeight="1"/>
    <row r="77" s="64" customFormat="1" ht="16.649999999999999" customHeight="1"/>
    <row r="78" s="64" customFormat="1" ht="16.649999999999999" customHeight="1"/>
    <row r="79" s="64" customFormat="1" ht="16.649999999999999" customHeight="1"/>
    <row r="80" s="64" customFormat="1" ht="16.649999999999999" customHeight="1"/>
    <row r="81" s="64" customFormat="1" ht="16.649999999999999" customHeight="1"/>
    <row r="82" s="64" customFormat="1" ht="16.649999999999999" customHeight="1"/>
    <row r="83" s="64" customFormat="1" ht="16.649999999999999" customHeight="1"/>
    <row r="84" s="64" customFormat="1" ht="16.649999999999999" customHeight="1"/>
    <row r="85" s="64" customFormat="1" ht="16.649999999999999" customHeight="1"/>
    <row r="86" s="64" customFormat="1" ht="16.649999999999999" customHeight="1"/>
    <row r="87" s="64" customFormat="1" ht="16.649999999999999" customHeight="1"/>
    <row r="88" s="64" customFormat="1" ht="16.649999999999999" customHeight="1"/>
    <row r="89" s="64" customFormat="1" ht="16.649999999999999" customHeight="1"/>
  </sheetData>
  <mergeCells count="3">
    <mergeCell ref="A2:D2"/>
    <mergeCell ref="A4:D4"/>
    <mergeCell ref="A6:C6"/>
  </mergeCells>
  <pageMargins left="0.75" right="0.75" top="1" bottom="1" header="0.5" footer="0.5"/>
  <headerFooter>
    <oddFooter>&amp;R_x000D_&amp;1#&amp;"Arial"&amp;7&amp;K000000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D98C-459A-4294-BDA6-877AA3621118}">
  <dimension ref="A1:H83"/>
  <sheetViews>
    <sheetView showGridLines="0" showRuler="0" workbookViewId="0"/>
  </sheetViews>
  <sheetFormatPr defaultColWidth="12.62890625" defaultRowHeight="12.3"/>
  <cols>
    <col min="1" max="1" width="48.9453125" style="64" customWidth="1"/>
    <col min="2" max="4" width="14.62890625" style="64" customWidth="1"/>
    <col min="5" max="5" width="20" style="64" customWidth="1"/>
    <col min="6" max="6" width="14.62890625" style="64" customWidth="1"/>
    <col min="7" max="7" width="15.7890625" style="64" customWidth="1"/>
    <col min="8" max="8" width="14.62890625" style="64" customWidth="1"/>
    <col min="9" max="25" width="19.05078125" style="64" customWidth="1"/>
    <col min="26" max="16384" width="12.62890625" style="64"/>
  </cols>
  <sheetData>
    <row r="1" spans="1:8" ht="16.649999999999999" customHeight="1">
      <c r="A1" s="86" t="s">
        <v>77</v>
      </c>
    </row>
    <row r="2" spans="1:8" ht="32.4" customHeight="1">
      <c r="A2" s="85" t="s">
        <v>76</v>
      </c>
      <c r="B2" s="83"/>
      <c r="C2" s="83"/>
      <c r="D2" s="83"/>
      <c r="E2" s="83"/>
      <c r="F2" s="83"/>
      <c r="G2" s="83"/>
      <c r="H2" s="83"/>
    </row>
    <row r="3" spans="1:8" ht="16.649999999999999" customHeight="1"/>
    <row r="4" spans="1:8" ht="14.1" customHeight="1">
      <c r="A4" s="85" t="s">
        <v>75</v>
      </c>
      <c r="B4" s="83"/>
      <c r="C4" s="83"/>
      <c r="D4" s="83"/>
      <c r="E4" s="83"/>
      <c r="F4" s="83"/>
      <c r="G4" s="83"/>
      <c r="H4" s="83"/>
    </row>
    <row r="5" spans="1:8" ht="16.649999999999999" customHeight="1"/>
    <row r="6" spans="1:8" ht="15.75" customHeight="1">
      <c r="A6" s="84" t="s">
        <v>149</v>
      </c>
      <c r="B6" s="83"/>
      <c r="C6" s="83"/>
      <c r="D6" s="83"/>
    </row>
    <row r="7" spans="1:8" ht="16.649999999999999" customHeight="1">
      <c r="A7" s="71"/>
      <c r="B7" s="71"/>
      <c r="C7" s="71"/>
      <c r="D7" s="71"/>
      <c r="E7" s="71"/>
      <c r="F7" s="71"/>
      <c r="G7" s="71"/>
      <c r="H7" s="71"/>
    </row>
    <row r="8" spans="1:8" ht="14.1" customHeight="1">
      <c r="B8" s="91" t="s">
        <v>96</v>
      </c>
      <c r="C8" s="83"/>
    </row>
    <row r="9" spans="1:8" ht="13.35" customHeight="1">
      <c r="A9" s="81" t="s">
        <v>148</v>
      </c>
      <c r="B9" s="90" t="s">
        <v>147</v>
      </c>
      <c r="C9" s="90" t="s">
        <v>146</v>
      </c>
      <c r="D9" s="90" t="s">
        <v>95</v>
      </c>
      <c r="E9" s="90" t="s">
        <v>94</v>
      </c>
      <c r="F9" s="90" t="s">
        <v>93</v>
      </c>
      <c r="G9" s="90" t="s">
        <v>145</v>
      </c>
      <c r="H9" s="90" t="s">
        <v>144</v>
      </c>
    </row>
    <row r="10" spans="1:8" ht="16.649999999999999" customHeight="1">
      <c r="A10" s="78" t="s">
        <v>143</v>
      </c>
      <c r="B10" s="76">
        <v>402.6</v>
      </c>
      <c r="C10" s="76">
        <v>36.5</v>
      </c>
      <c r="D10" s="76">
        <v>3876.1</v>
      </c>
      <c r="E10" s="76">
        <v>-2422.8000000000002</v>
      </c>
      <c r="F10" s="76">
        <v>8317.2999999999993</v>
      </c>
      <c r="G10" s="76">
        <v>333.5</v>
      </c>
      <c r="H10" s="76">
        <v>10140.6</v>
      </c>
    </row>
    <row r="11" spans="1:8" ht="16.649999999999999" customHeight="1">
      <c r="A11" s="70" t="s">
        <v>140</v>
      </c>
    </row>
    <row r="12" spans="1:8" ht="16.649999999999999" customHeight="1">
      <c r="A12" s="67" t="s">
        <v>53</v>
      </c>
      <c r="B12" s="66">
        <v>0</v>
      </c>
      <c r="C12" s="66">
        <v>0</v>
      </c>
      <c r="D12" s="66">
        <v>0</v>
      </c>
      <c r="E12" s="66">
        <v>0</v>
      </c>
      <c r="F12" s="66">
        <v>5624.2</v>
      </c>
      <c r="G12" s="66">
        <v>0</v>
      </c>
      <c r="H12" s="65">
        <v>5624.2</v>
      </c>
    </row>
    <row r="13" spans="1:8" ht="16.649999999999999" customHeight="1">
      <c r="A13" s="67" t="s">
        <v>86</v>
      </c>
      <c r="B13" s="66">
        <v>0</v>
      </c>
      <c r="C13" s="66">
        <v>0</v>
      </c>
      <c r="D13" s="66">
        <v>0</v>
      </c>
      <c r="E13" s="66">
        <v>0</v>
      </c>
      <c r="F13" s="66">
        <v>0</v>
      </c>
      <c r="G13" s="66">
        <v>37.700000000000003</v>
      </c>
      <c r="H13" s="65">
        <v>37.700000000000003</v>
      </c>
    </row>
    <row r="14" spans="1:8" ht="16.649999999999999" customHeight="1">
      <c r="A14" s="67" t="s">
        <v>84</v>
      </c>
      <c r="B14" s="66">
        <v>0</v>
      </c>
      <c r="C14" s="66">
        <v>0</v>
      </c>
      <c r="D14" s="66">
        <v>0</v>
      </c>
      <c r="E14" s="66">
        <v>0</v>
      </c>
      <c r="F14" s="66">
        <v>0</v>
      </c>
      <c r="G14" s="66">
        <v>66</v>
      </c>
      <c r="H14" s="65">
        <v>66</v>
      </c>
    </row>
    <row r="15" spans="1:8" ht="16.649999999999999" customHeight="1">
      <c r="A15" s="67" t="s">
        <v>139</v>
      </c>
      <c r="B15" s="66">
        <v>0</v>
      </c>
      <c r="C15" s="66">
        <v>0</v>
      </c>
      <c r="D15" s="66">
        <v>0</v>
      </c>
      <c r="E15" s="66">
        <v>0</v>
      </c>
      <c r="F15" s="66">
        <v>0</v>
      </c>
      <c r="G15" s="66">
        <v>-8.9</v>
      </c>
      <c r="H15" s="65">
        <v>-8.9</v>
      </c>
    </row>
    <row r="16" spans="1:8" ht="16.649999999999999" customHeight="1">
      <c r="A16" s="70" t="s">
        <v>138</v>
      </c>
      <c r="B16" s="66">
        <v>0</v>
      </c>
      <c r="C16" s="66">
        <v>0</v>
      </c>
      <c r="D16" s="66">
        <v>0</v>
      </c>
      <c r="E16" s="66">
        <v>0</v>
      </c>
      <c r="F16" s="66">
        <v>5624.2</v>
      </c>
      <c r="G16" s="66">
        <v>94.8</v>
      </c>
      <c r="H16" s="65">
        <v>5719</v>
      </c>
    </row>
    <row r="17" spans="1:8" ht="16.649999999999999" customHeight="1">
      <c r="A17" s="67" t="s">
        <v>137</v>
      </c>
      <c r="B17" s="66">
        <v>-8.5</v>
      </c>
      <c r="C17" s="66">
        <v>0</v>
      </c>
      <c r="D17" s="66">
        <v>0</v>
      </c>
      <c r="E17" s="66">
        <v>-4639.7</v>
      </c>
      <c r="F17" s="66">
        <v>0</v>
      </c>
      <c r="G17" s="66">
        <v>0</v>
      </c>
      <c r="H17" s="65">
        <v>-4639.7</v>
      </c>
    </row>
    <row r="18" spans="1:8" ht="16.649999999999999" customHeight="1">
      <c r="A18" s="67" t="s">
        <v>136</v>
      </c>
      <c r="B18" s="66">
        <v>0</v>
      </c>
      <c r="C18" s="66">
        <v>-0.3</v>
      </c>
      <c r="D18" s="66">
        <v>0</v>
      </c>
      <c r="E18" s="66">
        <v>2333.6999999999998</v>
      </c>
      <c r="F18" s="66">
        <v>-2333.4</v>
      </c>
      <c r="G18" s="66">
        <v>0</v>
      </c>
      <c r="H18" s="65">
        <v>0</v>
      </c>
    </row>
    <row r="19" spans="1:8" ht="16.649999999999999" customHeight="1">
      <c r="A19" s="67" t="s">
        <v>135</v>
      </c>
      <c r="B19" s="66">
        <v>0</v>
      </c>
      <c r="C19" s="66">
        <v>0</v>
      </c>
      <c r="D19" s="66">
        <v>68.900000000000006</v>
      </c>
      <c r="E19" s="66">
        <v>0</v>
      </c>
      <c r="F19" s="66">
        <v>0</v>
      </c>
      <c r="G19" s="66">
        <v>0</v>
      </c>
      <c r="H19" s="65">
        <v>68.900000000000006</v>
      </c>
    </row>
    <row r="20" spans="1:8" ht="16.649999999999999" customHeight="1">
      <c r="A20" s="67" t="s">
        <v>134</v>
      </c>
      <c r="B20" s="66">
        <v>0.5</v>
      </c>
      <c r="C20" s="66">
        <v>0.1</v>
      </c>
      <c r="D20" s="66">
        <v>-4.2</v>
      </c>
      <c r="E20" s="66">
        <v>87.5</v>
      </c>
      <c r="F20" s="66">
        <v>-1.6</v>
      </c>
      <c r="G20" s="66">
        <v>0</v>
      </c>
      <c r="H20" s="65">
        <v>81.8</v>
      </c>
    </row>
    <row r="21" spans="1:8" ht="16.649999999999999" customHeight="1">
      <c r="A21" s="75" t="s">
        <v>133</v>
      </c>
      <c r="B21" s="74">
        <v>0</v>
      </c>
      <c r="C21" s="74">
        <v>0</v>
      </c>
      <c r="D21" s="74">
        <v>0</v>
      </c>
      <c r="E21" s="74">
        <v>0</v>
      </c>
      <c r="F21" s="74">
        <v>-2559.8000000000002</v>
      </c>
      <c r="G21" s="74">
        <v>0</v>
      </c>
      <c r="H21" s="73">
        <v>-2559.8000000000002</v>
      </c>
    </row>
    <row r="22" spans="1:8" ht="16.649999999999999" customHeight="1">
      <c r="A22" s="78" t="s">
        <v>142</v>
      </c>
      <c r="B22" s="76">
        <v>394.6</v>
      </c>
      <c r="C22" s="76">
        <v>36.299999999999997</v>
      </c>
      <c r="D22" s="76">
        <v>3940.8</v>
      </c>
      <c r="E22" s="76">
        <v>-4641.3</v>
      </c>
      <c r="F22" s="76">
        <v>9046.7000000000007</v>
      </c>
      <c r="G22" s="76">
        <v>428.3</v>
      </c>
      <c r="H22" s="76">
        <v>8810.7999999999993</v>
      </c>
    </row>
    <row r="23" spans="1:8" ht="16.649999999999999" customHeight="1"/>
    <row r="24" spans="1:8" ht="16.649999999999999" customHeight="1">
      <c r="A24" s="70" t="s">
        <v>140</v>
      </c>
    </row>
    <row r="25" spans="1:8" ht="16.649999999999999" customHeight="1">
      <c r="A25" s="67" t="s">
        <v>53</v>
      </c>
      <c r="B25" s="66">
        <v>0</v>
      </c>
      <c r="C25" s="66">
        <v>0</v>
      </c>
      <c r="D25" s="66">
        <v>0</v>
      </c>
      <c r="E25" s="66">
        <v>0</v>
      </c>
      <c r="F25" s="66">
        <v>7839</v>
      </c>
      <c r="G25" s="66">
        <v>0</v>
      </c>
      <c r="H25" s="65">
        <v>7839</v>
      </c>
    </row>
    <row r="26" spans="1:8" ht="16.649999999999999" customHeight="1">
      <c r="A26" s="67" t="s">
        <v>86</v>
      </c>
      <c r="B26" s="66">
        <v>0</v>
      </c>
      <c r="C26" s="66">
        <v>0</v>
      </c>
      <c r="D26" s="66">
        <v>0</v>
      </c>
      <c r="E26" s="66">
        <v>0</v>
      </c>
      <c r="F26" s="66">
        <v>0</v>
      </c>
      <c r="G26" s="66">
        <v>0.2</v>
      </c>
      <c r="H26" s="65">
        <v>0.2</v>
      </c>
    </row>
    <row r="27" spans="1:8" ht="16.649999999999999" customHeight="1">
      <c r="A27" s="67" t="s">
        <v>84</v>
      </c>
      <c r="B27" s="66">
        <v>0</v>
      </c>
      <c r="C27" s="66">
        <v>0</v>
      </c>
      <c r="D27" s="66">
        <v>0</v>
      </c>
      <c r="E27" s="66">
        <v>0</v>
      </c>
      <c r="F27" s="66">
        <v>0</v>
      </c>
      <c r="G27" s="66">
        <v>-68.3</v>
      </c>
      <c r="H27" s="65">
        <v>-68.3</v>
      </c>
    </row>
    <row r="28" spans="1:8" ht="16.649999999999999" customHeight="1">
      <c r="A28" s="67" t="s">
        <v>139</v>
      </c>
      <c r="B28" s="66">
        <v>0</v>
      </c>
      <c r="C28" s="66">
        <v>0</v>
      </c>
      <c r="D28" s="66">
        <v>0</v>
      </c>
      <c r="E28" s="66">
        <v>0</v>
      </c>
      <c r="F28" s="66">
        <v>0</v>
      </c>
      <c r="G28" s="66">
        <v>-15.2</v>
      </c>
      <c r="H28" s="65">
        <v>-15.2</v>
      </c>
    </row>
    <row r="29" spans="1:8" ht="16.649999999999999" customHeight="1">
      <c r="A29" s="70" t="s">
        <v>138</v>
      </c>
      <c r="B29" s="66">
        <v>0</v>
      </c>
      <c r="C29" s="66">
        <v>0</v>
      </c>
      <c r="D29" s="66">
        <v>0</v>
      </c>
      <c r="E29" s="66">
        <v>0</v>
      </c>
      <c r="F29" s="66">
        <v>7839</v>
      </c>
      <c r="G29" s="66">
        <v>-83.3</v>
      </c>
      <c r="H29" s="65">
        <v>7755.7</v>
      </c>
    </row>
    <row r="30" spans="1:8" ht="16.649999999999999" customHeight="1">
      <c r="A30" s="67" t="s">
        <v>137</v>
      </c>
      <c r="B30" s="66">
        <v>-1.6</v>
      </c>
      <c r="C30" s="66">
        <v>0</v>
      </c>
      <c r="D30" s="66">
        <v>0</v>
      </c>
      <c r="E30" s="66">
        <v>-1000</v>
      </c>
      <c r="F30" s="66">
        <v>0</v>
      </c>
      <c r="G30" s="66">
        <v>0</v>
      </c>
      <c r="H30" s="65">
        <v>-1000</v>
      </c>
    </row>
    <row r="31" spans="1:8" ht="16.649999999999999" customHeight="1">
      <c r="A31" s="67" t="s">
        <v>136</v>
      </c>
      <c r="B31" s="66">
        <v>0</v>
      </c>
      <c r="C31" s="66">
        <v>-0.3</v>
      </c>
      <c r="D31" s="66">
        <v>0</v>
      </c>
      <c r="E31" s="66">
        <v>2105.1</v>
      </c>
      <c r="F31" s="66">
        <v>-2104.8000000000002</v>
      </c>
      <c r="G31" s="66">
        <v>0</v>
      </c>
      <c r="H31" s="65">
        <v>0</v>
      </c>
    </row>
    <row r="32" spans="1:8" ht="16.649999999999999" customHeight="1">
      <c r="A32" s="67" t="s">
        <v>135</v>
      </c>
      <c r="B32" s="66">
        <v>0</v>
      </c>
      <c r="C32" s="66">
        <v>0</v>
      </c>
      <c r="D32" s="66">
        <v>134.80000000000001</v>
      </c>
      <c r="E32" s="66">
        <v>0</v>
      </c>
      <c r="F32" s="66">
        <v>0</v>
      </c>
      <c r="G32" s="66">
        <v>0</v>
      </c>
      <c r="H32" s="65">
        <v>134.80000000000001</v>
      </c>
    </row>
    <row r="33" spans="1:8" ht="16.649999999999999" customHeight="1">
      <c r="A33" s="67" t="s">
        <v>134</v>
      </c>
      <c r="B33" s="66">
        <v>0.5</v>
      </c>
      <c r="C33" s="66">
        <v>0</v>
      </c>
      <c r="D33" s="66">
        <v>-77.5</v>
      </c>
      <c r="E33" s="66">
        <v>230</v>
      </c>
      <c r="F33" s="66">
        <v>-53.1</v>
      </c>
      <c r="G33" s="66">
        <v>0</v>
      </c>
      <c r="H33" s="65">
        <v>99.4</v>
      </c>
    </row>
    <row r="34" spans="1:8" ht="16.649999999999999" customHeight="1">
      <c r="A34" s="75" t="s">
        <v>133</v>
      </c>
      <c r="B34" s="74">
        <v>0</v>
      </c>
      <c r="C34" s="74">
        <v>0</v>
      </c>
      <c r="D34" s="74">
        <v>0</v>
      </c>
      <c r="E34" s="74">
        <v>0</v>
      </c>
      <c r="F34" s="74">
        <v>-2348.3000000000002</v>
      </c>
      <c r="G34" s="74">
        <v>0</v>
      </c>
      <c r="H34" s="73">
        <v>-2348.3000000000002</v>
      </c>
    </row>
    <row r="35" spans="1:8" ht="16.649999999999999" customHeight="1">
      <c r="A35" s="78" t="s">
        <v>141</v>
      </c>
      <c r="B35" s="76">
        <v>393.5</v>
      </c>
      <c r="C35" s="76">
        <v>36</v>
      </c>
      <c r="D35" s="76">
        <v>3998.1</v>
      </c>
      <c r="E35" s="76">
        <v>-3306.2</v>
      </c>
      <c r="F35" s="76">
        <v>12379.5</v>
      </c>
      <c r="G35" s="76">
        <v>345</v>
      </c>
      <c r="H35" s="76">
        <v>13452.4</v>
      </c>
    </row>
    <row r="36" spans="1:8" ht="16.649999999999999" customHeight="1"/>
    <row r="37" spans="1:8" ht="16.649999999999999" customHeight="1">
      <c r="A37" s="70" t="s">
        <v>140</v>
      </c>
    </row>
    <row r="38" spans="1:8" ht="16.649999999999999" customHeight="1">
      <c r="A38" s="67" t="s">
        <v>53</v>
      </c>
      <c r="B38" s="66">
        <v>0</v>
      </c>
      <c r="C38" s="66">
        <v>0</v>
      </c>
      <c r="D38" s="66">
        <v>0</v>
      </c>
      <c r="E38" s="66">
        <v>0</v>
      </c>
      <c r="F38" s="66">
        <v>7571.6</v>
      </c>
      <c r="G38" s="66">
        <v>0</v>
      </c>
      <c r="H38" s="65">
        <v>7571.6</v>
      </c>
    </row>
    <row r="39" spans="1:8" ht="16.649999999999999" customHeight="1">
      <c r="A39" s="67" t="s">
        <v>86</v>
      </c>
      <c r="B39" s="66">
        <v>0</v>
      </c>
      <c r="C39" s="66">
        <v>0</v>
      </c>
      <c r="D39" s="66">
        <v>0</v>
      </c>
      <c r="E39" s="66">
        <v>0</v>
      </c>
      <c r="F39" s="66">
        <v>0</v>
      </c>
      <c r="G39" s="66">
        <v>-12.1</v>
      </c>
      <c r="H39" s="65">
        <v>-12.1</v>
      </c>
    </row>
    <row r="40" spans="1:8" ht="16.649999999999999" customHeight="1">
      <c r="A40" s="67" t="s">
        <v>84</v>
      </c>
      <c r="B40" s="66">
        <v>0</v>
      </c>
      <c r="C40" s="66">
        <v>0</v>
      </c>
      <c r="D40" s="66">
        <v>0</v>
      </c>
      <c r="E40" s="66">
        <v>0</v>
      </c>
      <c r="F40" s="66">
        <v>0</v>
      </c>
      <c r="G40" s="66">
        <v>91.9</v>
      </c>
      <c r="H40" s="65">
        <v>91.9</v>
      </c>
    </row>
    <row r="41" spans="1:8" ht="16.649999999999999" customHeight="1">
      <c r="A41" s="67" t="s">
        <v>139</v>
      </c>
      <c r="B41" s="66">
        <v>0</v>
      </c>
      <c r="C41" s="66">
        <v>0</v>
      </c>
      <c r="D41" s="66">
        <v>0</v>
      </c>
      <c r="E41" s="66">
        <v>0</v>
      </c>
      <c r="F41" s="66">
        <v>0</v>
      </c>
      <c r="G41" s="66">
        <v>29.3</v>
      </c>
      <c r="H41" s="65">
        <v>29.3</v>
      </c>
    </row>
    <row r="42" spans="1:8" ht="16.649999999999999" customHeight="1">
      <c r="A42" s="70" t="s">
        <v>138</v>
      </c>
      <c r="B42" s="66">
        <v>0</v>
      </c>
      <c r="C42" s="66">
        <v>0</v>
      </c>
      <c r="D42" s="66">
        <v>0</v>
      </c>
      <c r="E42" s="66">
        <v>0</v>
      </c>
      <c r="F42" s="66">
        <v>7571.6</v>
      </c>
      <c r="G42" s="66">
        <v>109.1</v>
      </c>
      <c r="H42" s="65">
        <v>7680.7</v>
      </c>
    </row>
    <row r="43" spans="1:8" ht="16.649999999999999" customHeight="1">
      <c r="A43" s="67" t="s">
        <v>137</v>
      </c>
      <c r="B43" s="66">
        <v>-0.6</v>
      </c>
      <c r="C43" s="66">
        <v>-0.1</v>
      </c>
      <c r="D43" s="66">
        <v>0</v>
      </c>
      <c r="E43" s="66">
        <v>-499.9</v>
      </c>
      <c r="F43" s="66">
        <v>0</v>
      </c>
      <c r="G43" s="66">
        <v>0</v>
      </c>
      <c r="H43" s="65">
        <v>-500</v>
      </c>
    </row>
    <row r="44" spans="1:8" ht="16.649999999999999" customHeight="1">
      <c r="A44" s="67" t="s">
        <v>136</v>
      </c>
      <c r="B44" s="66">
        <v>0</v>
      </c>
      <c r="C44" s="66">
        <v>-0.5</v>
      </c>
      <c r="D44" s="66">
        <v>0</v>
      </c>
      <c r="E44" s="66">
        <v>3050.4</v>
      </c>
      <c r="F44" s="66">
        <v>-3049.9</v>
      </c>
      <c r="G44" s="66">
        <v>0</v>
      </c>
      <c r="H44" s="65">
        <v>0</v>
      </c>
    </row>
    <row r="45" spans="1:8" ht="16.649999999999999" customHeight="1">
      <c r="A45" s="67" t="s">
        <v>135</v>
      </c>
      <c r="B45" s="66">
        <v>0</v>
      </c>
      <c r="C45" s="66">
        <v>0</v>
      </c>
      <c r="D45" s="66">
        <v>172.6</v>
      </c>
      <c r="E45" s="66">
        <v>0</v>
      </c>
      <c r="F45" s="66">
        <v>0</v>
      </c>
      <c r="G45" s="66">
        <v>0</v>
      </c>
      <c r="H45" s="65">
        <v>172.6</v>
      </c>
    </row>
    <row r="46" spans="1:8" ht="16.649999999999999" customHeight="1">
      <c r="A46" s="67" t="s">
        <v>134</v>
      </c>
      <c r="B46" s="66">
        <v>0.4</v>
      </c>
      <c r="C46" s="66">
        <v>0</v>
      </c>
      <c r="D46" s="66">
        <v>-121.7</v>
      </c>
      <c r="E46" s="66">
        <v>279.7</v>
      </c>
      <c r="F46" s="66">
        <v>-34</v>
      </c>
      <c r="G46" s="66">
        <v>0</v>
      </c>
      <c r="H46" s="65">
        <v>124</v>
      </c>
    </row>
    <row r="47" spans="1:8" ht="16.649999999999999" customHeight="1">
      <c r="A47" s="75" t="s">
        <v>133</v>
      </c>
      <c r="B47" s="74">
        <v>0</v>
      </c>
      <c r="C47" s="74">
        <v>0</v>
      </c>
      <c r="D47" s="74">
        <v>0</v>
      </c>
      <c r="E47" s="74">
        <v>0</v>
      </c>
      <c r="F47" s="74">
        <v>-2452.9</v>
      </c>
      <c r="G47" s="74">
        <v>0</v>
      </c>
      <c r="H47" s="73">
        <v>-2452.9</v>
      </c>
    </row>
    <row r="48" spans="1:8" ht="16.649999999999999" customHeight="1">
      <c r="A48" s="78" t="s">
        <v>132</v>
      </c>
      <c r="B48" s="76">
        <v>393.3</v>
      </c>
      <c r="C48" s="76">
        <v>35.4</v>
      </c>
      <c r="D48" s="76">
        <v>4049</v>
      </c>
      <c r="E48" s="76">
        <v>-476</v>
      </c>
      <c r="F48" s="76">
        <v>14414.3</v>
      </c>
      <c r="G48" s="76">
        <v>454.1</v>
      </c>
      <c r="H48" s="76">
        <v>18476.8</v>
      </c>
    </row>
    <row r="49" s="64" customFormat="1" ht="16.649999999999999" customHeight="1"/>
    <row r="50" s="64" customFormat="1" ht="16.649999999999999" customHeight="1"/>
    <row r="51" s="64" customFormat="1" ht="16.649999999999999" customHeight="1"/>
    <row r="52" s="64" customFormat="1" ht="16.649999999999999" customHeight="1"/>
    <row r="53" s="64" customFormat="1" ht="16.649999999999999" customHeight="1"/>
    <row r="54" s="64" customFormat="1" ht="16.649999999999999" customHeight="1"/>
    <row r="55" s="64" customFormat="1" ht="16.649999999999999" customHeight="1"/>
    <row r="56" s="64" customFormat="1" ht="16.649999999999999" customHeight="1"/>
    <row r="57" s="64" customFormat="1" ht="16.649999999999999" customHeight="1"/>
    <row r="58" s="64" customFormat="1" ht="16.649999999999999" customHeight="1"/>
    <row r="59" s="64" customFormat="1" ht="16.649999999999999" customHeight="1"/>
    <row r="60" s="64" customFormat="1" ht="16.649999999999999" customHeight="1"/>
    <row r="61" s="64" customFormat="1" ht="16.649999999999999" customHeight="1"/>
    <row r="62" s="64" customFormat="1" ht="16.649999999999999" customHeight="1"/>
    <row r="63" s="64" customFormat="1" ht="16.649999999999999" customHeight="1"/>
    <row r="64" s="64" customFormat="1" ht="16.649999999999999" customHeight="1"/>
    <row r="65" s="64" customFormat="1" ht="16.649999999999999" customHeight="1"/>
    <row r="66" s="64" customFormat="1" ht="16.649999999999999" customHeight="1"/>
    <row r="67" s="64" customFormat="1" ht="16.649999999999999" customHeight="1"/>
    <row r="68" s="64" customFormat="1" ht="16.649999999999999" customHeight="1"/>
    <row r="69" s="64" customFormat="1" ht="16.649999999999999" customHeight="1"/>
    <row r="70" s="64" customFormat="1" ht="16.649999999999999" customHeight="1"/>
    <row r="71" s="64" customFormat="1" ht="16.649999999999999" customHeight="1"/>
    <row r="72" s="64" customFormat="1" ht="16.649999999999999" customHeight="1"/>
    <row r="73" s="64" customFormat="1" ht="16.649999999999999" customHeight="1"/>
    <row r="74" s="64" customFormat="1" ht="16.649999999999999" customHeight="1"/>
    <row r="75" s="64" customFormat="1" ht="16.649999999999999" customHeight="1"/>
    <row r="76" s="64" customFormat="1" ht="16.649999999999999" customHeight="1"/>
    <row r="77" s="64" customFormat="1" ht="16.649999999999999" customHeight="1"/>
    <row r="78" s="64" customFormat="1" ht="16.649999999999999" customHeight="1"/>
    <row r="79" s="64" customFormat="1" ht="16.649999999999999" customHeight="1"/>
    <row r="80" s="64" customFormat="1" ht="16.649999999999999" customHeight="1"/>
    <row r="81" s="64" customFormat="1" ht="16.649999999999999" customHeight="1"/>
    <row r="82" s="64" customFormat="1" ht="16.649999999999999" customHeight="1"/>
    <row r="83" s="64" customFormat="1" ht="16.649999999999999" customHeight="1"/>
  </sheetData>
  <mergeCells count="4">
    <mergeCell ref="A2:H2"/>
    <mergeCell ref="A4:H4"/>
    <mergeCell ref="A6:D6"/>
    <mergeCell ref="B8:C8"/>
  </mergeCells>
  <pageMargins left="0.75" right="0.75" top="1" bottom="1" header="0.5" footer="0.5"/>
  <headerFooter>
    <oddFooter>&amp;R_x000D_&amp;1#&amp;"Arial"&amp;7&amp;K000000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A3C6-E99D-41E0-9DEE-16FB57900742}">
  <dimension ref="A1:D99"/>
  <sheetViews>
    <sheetView showGridLines="0" showRuler="0" workbookViewId="0"/>
  </sheetViews>
  <sheetFormatPr defaultColWidth="12.62890625" defaultRowHeight="12.3"/>
  <cols>
    <col min="1" max="1" width="57.26171875" style="64" customWidth="1"/>
    <col min="2" max="25" width="19.05078125" style="64" customWidth="1"/>
    <col min="26" max="16384" width="12.62890625" style="64"/>
  </cols>
  <sheetData>
    <row r="1" spans="1:4" ht="16.649999999999999" customHeight="1">
      <c r="A1" s="86" t="s">
        <v>77</v>
      </c>
    </row>
    <row r="2" spans="1:4" ht="32.549999999999997" customHeight="1">
      <c r="A2" s="85" t="s">
        <v>76</v>
      </c>
      <c r="B2" s="83"/>
      <c r="C2" s="83"/>
      <c r="D2" s="83"/>
    </row>
    <row r="3" spans="1:4" ht="16.649999999999999" customHeight="1"/>
    <row r="4" spans="1:4" ht="14.1" customHeight="1">
      <c r="A4" s="85" t="s">
        <v>75</v>
      </c>
      <c r="B4" s="83"/>
      <c r="C4" s="83"/>
      <c r="D4" s="83"/>
    </row>
    <row r="5" spans="1:4" ht="16.649999999999999" customHeight="1"/>
    <row r="6" spans="1:4" ht="15.75" customHeight="1">
      <c r="A6" s="84" t="s">
        <v>188</v>
      </c>
      <c r="B6" s="83"/>
      <c r="C6" s="83"/>
      <c r="D6" s="83"/>
    </row>
    <row r="7" spans="1:4" ht="16.649999999999999" customHeight="1">
      <c r="A7" s="71"/>
      <c r="B7" s="71"/>
      <c r="C7" s="71"/>
      <c r="D7" s="71"/>
    </row>
    <row r="8" spans="1:4" ht="16.649999999999999" customHeight="1">
      <c r="A8" s="81" t="s">
        <v>88</v>
      </c>
      <c r="B8" s="87">
        <v>2022</v>
      </c>
      <c r="C8" s="87">
        <v>2023</v>
      </c>
      <c r="D8" s="87">
        <v>2024</v>
      </c>
    </row>
    <row r="9" spans="1:4" ht="16.649999999999999" customHeight="1">
      <c r="A9" s="71"/>
      <c r="B9" s="71"/>
      <c r="C9" s="71"/>
      <c r="D9" s="71"/>
    </row>
    <row r="10" spans="1:4" ht="16.649999999999999" customHeight="1">
      <c r="A10" s="70" t="s">
        <v>187</v>
      </c>
    </row>
    <row r="11" spans="1:4" ht="16.649999999999999" customHeight="1">
      <c r="A11" s="67" t="s">
        <v>53</v>
      </c>
      <c r="B11" s="66">
        <v>5624.2</v>
      </c>
      <c r="C11" s="66">
        <v>7839</v>
      </c>
      <c r="D11" s="65">
        <v>7571.6</v>
      </c>
    </row>
    <row r="12" spans="1:4" ht="16.649999999999999" customHeight="1">
      <c r="A12" s="67" t="s">
        <v>186</v>
      </c>
    </row>
    <row r="13" spans="1:4" ht="16.649999999999999" customHeight="1">
      <c r="A13" s="94" t="s">
        <v>185</v>
      </c>
      <c r="B13" s="66">
        <v>583.6</v>
      </c>
      <c r="C13" s="66">
        <v>739.8</v>
      </c>
      <c r="D13" s="65">
        <v>918.6</v>
      </c>
    </row>
    <row r="14" spans="1:4" ht="16.649999999999999" customHeight="1">
      <c r="A14" s="94" t="s">
        <v>184</v>
      </c>
      <c r="B14" s="66">
        <v>39.299999999999997</v>
      </c>
      <c r="C14" s="66">
        <v>37.5</v>
      </c>
      <c r="D14" s="65">
        <v>35.799999999999997</v>
      </c>
    </row>
    <row r="15" spans="1:4" ht="16.649999999999999" customHeight="1">
      <c r="A15" s="94" t="s">
        <v>183</v>
      </c>
      <c r="B15" s="66">
        <v>68.900000000000006</v>
      </c>
      <c r="C15" s="66">
        <v>134.80000000000001</v>
      </c>
      <c r="D15" s="65">
        <v>172.6</v>
      </c>
    </row>
    <row r="16" spans="1:4" ht="16.649999999999999" hidden="1" customHeight="1">
      <c r="A16" s="94" t="s">
        <v>182</v>
      </c>
      <c r="B16" s="66">
        <v>0</v>
      </c>
      <c r="C16" s="66">
        <v>0</v>
      </c>
      <c r="D16" s="65">
        <v>0</v>
      </c>
    </row>
    <row r="17" spans="1:4" ht="16.649999999999999" customHeight="1">
      <c r="A17" s="94" t="s">
        <v>181</v>
      </c>
      <c r="B17" s="66">
        <v>278.5</v>
      </c>
      <c r="C17" s="66">
        <v>485.3</v>
      </c>
      <c r="D17" s="65">
        <v>554.70000000000005</v>
      </c>
    </row>
    <row r="18" spans="1:4" ht="16.649999999999999" customHeight="1">
      <c r="A18" s="94" t="s">
        <v>180</v>
      </c>
      <c r="B18" s="66">
        <v>-564.20000000000005</v>
      </c>
      <c r="C18" s="66">
        <v>-133.6</v>
      </c>
      <c r="D18" s="65">
        <v>-144.80000000000001</v>
      </c>
    </row>
    <row r="19" spans="1:4" ht="16.649999999999999" customHeight="1">
      <c r="A19" s="94" t="s">
        <v>117</v>
      </c>
      <c r="B19" s="66">
        <v>15.3</v>
      </c>
      <c r="C19" s="66">
        <v>4.2</v>
      </c>
      <c r="D19" s="65">
        <v>4.4000000000000004</v>
      </c>
    </row>
    <row r="20" spans="1:4" ht="16.649999999999999" customHeight="1">
      <c r="A20" s="94" t="s">
        <v>179</v>
      </c>
    </row>
    <row r="21" spans="1:4" ht="16.649999999999999" customHeight="1">
      <c r="A21" s="93" t="s">
        <v>178</v>
      </c>
      <c r="B21" s="66">
        <v>-2338</v>
      </c>
      <c r="C21" s="66">
        <v>959.9</v>
      </c>
      <c r="D21" s="65">
        <v>-139.9</v>
      </c>
    </row>
    <row r="22" spans="1:4" ht="16.649999999999999" customHeight="1">
      <c r="A22" s="93" t="s">
        <v>121</v>
      </c>
      <c r="B22" s="66">
        <v>212.2</v>
      </c>
      <c r="C22" s="66">
        <v>-88.6</v>
      </c>
      <c r="D22" s="65">
        <v>1038.7</v>
      </c>
    </row>
    <row r="23" spans="1:4" ht="16.649999999999999" customHeight="1">
      <c r="A23" s="93" t="s">
        <v>177</v>
      </c>
      <c r="B23" s="66">
        <v>-2080.9</v>
      </c>
      <c r="C23" s="66">
        <v>-1646.9</v>
      </c>
      <c r="D23" s="65">
        <v>-1860.9</v>
      </c>
    </row>
    <row r="24" spans="1:4" ht="16.649999999999999" customHeight="1">
      <c r="A24" s="93" t="s">
        <v>118</v>
      </c>
      <c r="B24" s="66">
        <v>-864.3</v>
      </c>
      <c r="C24" s="66">
        <v>-344.3</v>
      </c>
      <c r="D24" s="65">
        <v>-1299</v>
      </c>
    </row>
    <row r="25" spans="1:4" ht="16.649999999999999" customHeight="1">
      <c r="A25" s="93" t="s">
        <v>102</v>
      </c>
      <c r="B25" s="66">
        <v>439.7</v>
      </c>
      <c r="C25" s="66">
        <v>222</v>
      </c>
      <c r="D25" s="65">
        <v>625.5</v>
      </c>
    </row>
    <row r="26" spans="1:4" ht="16.649999999999999" customHeight="1">
      <c r="A26" s="93" t="s">
        <v>109</v>
      </c>
      <c r="B26" s="66">
        <v>406.2</v>
      </c>
      <c r="C26" s="66">
        <v>-261.7</v>
      </c>
      <c r="D26" s="65">
        <v>1127.5999999999999</v>
      </c>
    </row>
    <row r="27" spans="1:4" ht="16.649999999999999" customHeight="1">
      <c r="A27" s="93" t="s">
        <v>176</v>
      </c>
      <c r="B27" s="66">
        <v>33.6</v>
      </c>
      <c r="C27" s="66">
        <v>-939.4</v>
      </c>
      <c r="D27" s="65">
        <v>689.5</v>
      </c>
    </row>
    <row r="28" spans="1:4" ht="16.649999999999999" customHeight="1">
      <c r="A28" s="92" t="s">
        <v>175</v>
      </c>
      <c r="B28" s="74">
        <v>6632.7</v>
      </c>
      <c r="C28" s="74">
        <v>-1564.6</v>
      </c>
      <c r="D28" s="73">
        <v>1871.8</v>
      </c>
    </row>
    <row r="29" spans="1:4" ht="16.649999999999999" customHeight="1">
      <c r="A29" s="78" t="s">
        <v>174</v>
      </c>
      <c r="B29" s="77">
        <v>8486.7999999999993</v>
      </c>
      <c r="C29" s="77">
        <v>5443.4</v>
      </c>
      <c r="D29" s="76">
        <v>11166.2</v>
      </c>
    </row>
    <row r="30" spans="1:4" ht="16.649999999999999" customHeight="1"/>
    <row r="31" spans="1:4" ht="16.649999999999999" customHeight="1">
      <c r="A31" s="70" t="s">
        <v>173</v>
      </c>
    </row>
    <row r="32" spans="1:4" ht="16.649999999999999" customHeight="1">
      <c r="A32" s="67" t="s">
        <v>172</v>
      </c>
      <c r="B32" s="66">
        <v>-1281.8</v>
      </c>
      <c r="C32" s="66">
        <v>-2155.6</v>
      </c>
      <c r="D32" s="65">
        <v>-2067.1999999999998</v>
      </c>
    </row>
    <row r="33" spans="1:4" ht="16.649999999999999" customHeight="1">
      <c r="A33" s="67" t="s">
        <v>171</v>
      </c>
      <c r="B33" s="66">
        <v>-37.5</v>
      </c>
      <c r="C33" s="66">
        <v>-40.6</v>
      </c>
      <c r="D33" s="65">
        <v>-15.9</v>
      </c>
    </row>
    <row r="34" spans="1:4" ht="16.649999999999999" customHeight="1">
      <c r="A34" s="67" t="s">
        <v>170</v>
      </c>
      <c r="B34" s="66">
        <v>-334.3</v>
      </c>
      <c r="C34" s="66">
        <v>-23.6</v>
      </c>
      <c r="D34" s="65">
        <v>-305.2</v>
      </c>
    </row>
    <row r="35" spans="1:4" ht="16.649999999999999" customHeight="1">
      <c r="A35" s="67" t="s">
        <v>169</v>
      </c>
      <c r="B35" s="66">
        <v>864.7</v>
      </c>
      <c r="C35" s="66">
        <v>125.6</v>
      </c>
      <c r="D35" s="65">
        <v>305.2</v>
      </c>
    </row>
    <row r="36" spans="1:4" ht="16.649999999999999" customHeight="1">
      <c r="A36" s="67" t="s">
        <v>168</v>
      </c>
      <c r="B36" s="66">
        <v>-240</v>
      </c>
      <c r="C36" s="66">
        <v>-561.5</v>
      </c>
      <c r="D36" s="65">
        <v>-526.20000000000005</v>
      </c>
    </row>
    <row r="37" spans="1:4" ht="16.649999999999999" hidden="1" customHeight="1">
      <c r="A37" s="67" t="s">
        <v>167</v>
      </c>
      <c r="B37" s="66">
        <v>0</v>
      </c>
      <c r="C37" s="66">
        <v>0</v>
      </c>
      <c r="D37" s="65">
        <v>0</v>
      </c>
    </row>
    <row r="38" spans="1:4" ht="16.649999999999999" customHeight="1">
      <c r="A38" s="75" t="s">
        <v>166</v>
      </c>
      <c r="B38" s="74">
        <v>0</v>
      </c>
      <c r="C38" s="74">
        <v>-33.6</v>
      </c>
      <c r="D38" s="73">
        <v>0</v>
      </c>
    </row>
    <row r="39" spans="1:4" ht="16.649999999999999" customHeight="1">
      <c r="A39" s="78" t="s">
        <v>165</v>
      </c>
      <c r="B39" s="77">
        <v>-1028.9000000000001</v>
      </c>
      <c r="C39" s="77">
        <v>-2689.3</v>
      </c>
      <c r="D39" s="76">
        <v>-2609.3000000000002</v>
      </c>
    </row>
    <row r="40" spans="1:4" ht="16.649999999999999" customHeight="1"/>
    <row r="41" spans="1:4" ht="16.649999999999999" customHeight="1">
      <c r="A41" s="70" t="s">
        <v>164</v>
      </c>
    </row>
    <row r="42" spans="1:4" ht="16.649999999999999" customHeight="1">
      <c r="A42" s="67" t="s">
        <v>133</v>
      </c>
      <c r="B42" s="66">
        <v>-2559.8000000000002</v>
      </c>
      <c r="C42" s="66">
        <v>-2348.3000000000002</v>
      </c>
      <c r="D42" s="65">
        <v>-2452.9</v>
      </c>
    </row>
    <row r="43" spans="1:4" ht="16.649999999999999" customHeight="1">
      <c r="A43" s="67" t="s">
        <v>137</v>
      </c>
      <c r="B43" s="66">
        <v>-4639.7</v>
      </c>
      <c r="C43" s="66">
        <v>-1000</v>
      </c>
      <c r="D43" s="65">
        <v>-500</v>
      </c>
    </row>
    <row r="44" spans="1:4" ht="16.649999999999999" customHeight="1">
      <c r="A44" s="67" t="s">
        <v>163</v>
      </c>
      <c r="B44" s="66">
        <v>81.8</v>
      </c>
      <c r="C44" s="66">
        <v>99.4</v>
      </c>
      <c r="D44" s="65">
        <v>124</v>
      </c>
    </row>
    <row r="45" spans="1:4" ht="16.649999999999999" customHeight="1">
      <c r="A45" s="67" t="s">
        <v>162</v>
      </c>
      <c r="B45" s="66">
        <v>495.6</v>
      </c>
      <c r="C45" s="66">
        <v>997.8</v>
      </c>
      <c r="D45" s="65">
        <v>22.5</v>
      </c>
    </row>
    <row r="46" spans="1:4" ht="16.649999999999999" customHeight="1">
      <c r="A46" s="75" t="s">
        <v>161</v>
      </c>
      <c r="B46" s="74">
        <v>-516.20000000000005</v>
      </c>
      <c r="C46" s="74">
        <v>-752.8</v>
      </c>
      <c r="D46" s="73">
        <v>-25.7</v>
      </c>
    </row>
    <row r="47" spans="1:4" ht="16.649999999999999" customHeight="1">
      <c r="A47" s="78" t="s">
        <v>160</v>
      </c>
      <c r="B47" s="77">
        <v>-7138.3</v>
      </c>
      <c r="C47" s="77">
        <v>-3003.9</v>
      </c>
      <c r="D47" s="76">
        <v>-2832.1</v>
      </c>
    </row>
    <row r="48" spans="1:4" ht="16.649999999999999" customHeight="1"/>
    <row r="49" spans="1:4" ht="16.649999999999999" customHeight="1">
      <c r="A49" s="70" t="s">
        <v>159</v>
      </c>
      <c r="B49" s="66">
        <v>319.60000000000002</v>
      </c>
      <c r="C49" s="66">
        <v>-249.8</v>
      </c>
      <c r="D49" s="65">
        <v>5724.8</v>
      </c>
    </row>
    <row r="50" spans="1:4" ht="16.649999999999999" customHeight="1">
      <c r="A50" s="75" t="s">
        <v>158</v>
      </c>
      <c r="B50" s="74">
        <v>-3.1</v>
      </c>
      <c r="C50" s="74">
        <v>-13.8</v>
      </c>
      <c r="D50" s="73">
        <v>6.4</v>
      </c>
    </row>
    <row r="51" spans="1:4" ht="16.649999999999999" customHeight="1">
      <c r="A51" s="78" t="s">
        <v>157</v>
      </c>
      <c r="B51" s="77">
        <v>316.5</v>
      </c>
      <c r="C51" s="77">
        <v>-263.60000000000002</v>
      </c>
      <c r="D51" s="76">
        <v>5731.2</v>
      </c>
    </row>
    <row r="52" spans="1:4" ht="16.649999999999999" customHeight="1">
      <c r="A52" s="75" t="s">
        <v>156</v>
      </c>
      <c r="B52" s="74">
        <v>6951.8</v>
      </c>
      <c r="C52" s="74">
        <v>7268.3</v>
      </c>
      <c r="D52" s="73">
        <v>7004.7</v>
      </c>
    </row>
    <row r="53" spans="1:4" ht="16.649999999999999" customHeight="1">
      <c r="A53" s="78" t="s">
        <v>155</v>
      </c>
      <c r="B53" s="77">
        <v>7268.3</v>
      </c>
      <c r="C53" s="77">
        <v>7004.7</v>
      </c>
      <c r="D53" s="76">
        <v>12735.9</v>
      </c>
    </row>
    <row r="54" spans="1:4" ht="16.649999999999999" customHeight="1"/>
    <row r="55" spans="1:4" ht="16.649999999999999" customHeight="1">
      <c r="A55" s="70" t="s">
        <v>154</v>
      </c>
    </row>
    <row r="56" spans="1:4" ht="22.5" customHeight="1">
      <c r="A56" s="67" t="s">
        <v>153</v>
      </c>
      <c r="B56" s="66">
        <v>50.3</v>
      </c>
      <c r="C56" s="66">
        <v>49.3</v>
      </c>
      <c r="D56" s="65">
        <v>23.6</v>
      </c>
    </row>
    <row r="57" spans="1:4" ht="16.649999999999999" customHeight="1">
      <c r="A57" s="67" t="s">
        <v>152</v>
      </c>
      <c r="B57" s="66">
        <v>42.4</v>
      </c>
      <c r="C57" s="66">
        <v>190.8</v>
      </c>
      <c r="D57" s="65">
        <v>169.5</v>
      </c>
    </row>
    <row r="58" spans="1:4" ht="16.649999999999999" customHeight="1">
      <c r="A58" s="67" t="s">
        <v>151</v>
      </c>
      <c r="B58" s="66">
        <v>-82.2</v>
      </c>
      <c r="C58" s="66">
        <v>-137.80000000000001</v>
      </c>
      <c r="D58" s="65">
        <v>-160</v>
      </c>
    </row>
    <row r="59" spans="1:4" ht="16.649999999999999" customHeight="1">
      <c r="A59" s="67" t="s">
        <v>150</v>
      </c>
      <c r="B59" s="66">
        <v>-1734.6</v>
      </c>
      <c r="C59" s="66">
        <v>-2568.3000000000002</v>
      </c>
      <c r="D59" s="65">
        <v>-1098</v>
      </c>
    </row>
    <row r="60" spans="1:4" ht="16.649999999999999" customHeight="1"/>
    <row r="61" spans="1:4" ht="16.649999999999999" customHeight="1"/>
    <row r="62" spans="1:4" ht="16.649999999999999" customHeight="1"/>
    <row r="63" spans="1:4" ht="16.649999999999999" customHeight="1"/>
    <row r="64" spans="1:4" ht="16.649999999999999" customHeight="1"/>
    <row r="65" s="64" customFormat="1" ht="16.649999999999999" customHeight="1"/>
    <row r="66" s="64" customFormat="1" ht="16.649999999999999" customHeight="1"/>
    <row r="67" s="64" customFormat="1" ht="16.649999999999999" customHeight="1"/>
    <row r="68" s="64" customFormat="1" ht="16.649999999999999" customHeight="1"/>
    <row r="69" s="64" customFormat="1" ht="16.649999999999999" customHeight="1"/>
    <row r="70" s="64" customFormat="1" ht="16.649999999999999" customHeight="1"/>
    <row r="71" s="64" customFormat="1" ht="16.649999999999999" customHeight="1"/>
    <row r="72" s="64" customFormat="1" ht="16.649999999999999" customHeight="1"/>
    <row r="73" s="64" customFormat="1" ht="16.649999999999999" customHeight="1"/>
    <row r="74" s="64" customFormat="1" ht="16.649999999999999" customHeight="1"/>
    <row r="75" s="64" customFormat="1" ht="16.649999999999999" customHeight="1"/>
    <row r="76" s="64" customFormat="1" ht="16.649999999999999" customHeight="1"/>
    <row r="77" s="64" customFormat="1" ht="16.649999999999999" customHeight="1"/>
    <row r="78" s="64" customFormat="1" ht="16.649999999999999" customHeight="1"/>
    <row r="79" s="64" customFormat="1" ht="16.649999999999999" customHeight="1"/>
    <row r="80" s="64" customFormat="1" ht="16.649999999999999" customHeight="1"/>
    <row r="81" s="64" customFormat="1" ht="16.649999999999999" customHeight="1"/>
    <row r="82" s="64" customFormat="1" ht="16.649999999999999" customHeight="1"/>
    <row r="83" s="64" customFormat="1" ht="16.649999999999999" customHeight="1"/>
    <row r="84" s="64" customFormat="1" ht="16.649999999999999" customHeight="1"/>
    <row r="85" s="64" customFormat="1" ht="16.649999999999999" customHeight="1"/>
    <row r="86" s="64" customFormat="1" ht="16.649999999999999" customHeight="1"/>
    <row r="87" s="64" customFormat="1" ht="16.649999999999999" customHeight="1"/>
    <row r="88" s="64" customFormat="1" ht="16.649999999999999" customHeight="1"/>
    <row r="89" s="64" customFormat="1" ht="16.649999999999999" customHeight="1"/>
    <row r="90" s="64" customFormat="1" ht="16.649999999999999" customHeight="1"/>
    <row r="91" s="64" customFormat="1" ht="16.649999999999999" customHeight="1"/>
    <row r="92" s="64" customFormat="1" ht="16.649999999999999" customHeight="1"/>
    <row r="93" s="64" customFormat="1" ht="16.649999999999999" customHeight="1"/>
    <row r="94" s="64" customFormat="1" ht="16.649999999999999" customHeight="1"/>
    <row r="95" s="64" customFormat="1" ht="16.649999999999999" customHeight="1"/>
    <row r="96" s="64" customFormat="1" ht="16.649999999999999" customHeight="1"/>
    <row r="97" s="64" customFormat="1" ht="16.649999999999999" customHeight="1"/>
    <row r="98" s="64" customFormat="1" ht="16.649999999999999" customHeight="1"/>
    <row r="99" s="64" customFormat="1" ht="16.649999999999999" customHeight="1"/>
  </sheetData>
  <mergeCells count="3">
    <mergeCell ref="A2:D2"/>
    <mergeCell ref="A4:D4"/>
    <mergeCell ref="A6:D6"/>
  </mergeCells>
  <pageMargins left="0.75" right="0.75" top="1" bottom="1" header="0.5" footer="0.5"/>
  <headerFooter>
    <oddFooter>&amp;R_x000D_&amp;1#&amp;"Arial"&amp;7&amp;K000000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ASML</vt:lpstr>
      <vt:lpstr>Statements of Operations</vt:lpstr>
      <vt:lpstr>Comprehensive Income</vt:lpstr>
      <vt:lpstr>Balance Sheets</vt:lpstr>
      <vt:lpstr>Shareholder Equity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2025-09-16T00:09:38Z</dcterms:created>
  <dcterms:modified xsi:type="dcterms:W3CDTF">2025-09-24T23:26:31Z</dcterms:modified>
</cp:coreProperties>
</file>