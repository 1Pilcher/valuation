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pilc\Desktop\"/>
    </mc:Choice>
  </mc:AlternateContent>
  <xr:revisionPtr revIDLastSave="0" documentId="8_{1DEB36CD-CCA8-407B-BD76-B3DAF4A88617}" xr6:coauthVersionLast="47" xr6:coauthVersionMax="47" xr10:uidLastSave="{00000000-0000-0000-0000-000000000000}"/>
  <bookViews>
    <workbookView xWindow="-48" yWindow="-48" windowWidth="23136" windowHeight="13776" xr2:uid="{7225ADE7-D934-4FA7-9C7A-5B8C31C175DB}"/>
  </bookViews>
  <sheets>
    <sheet name="BIRD"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24" i="1" l="1"/>
  <c r="L8" i="1"/>
  <c r="I24" i="1"/>
  <c r="L4" i="1" s="1"/>
  <c r="L6" i="1" s="1"/>
  <c r="E21" i="1"/>
  <c r="E7" i="1"/>
  <c r="E22" i="1"/>
  <c r="E8" i="1"/>
  <c r="E23" i="1"/>
  <c r="E9" i="1"/>
  <c r="E10" i="1"/>
  <c r="E11" i="1"/>
  <c r="E12" i="1"/>
  <c r="E13" i="1"/>
  <c r="E14" i="1"/>
  <c r="E15" i="1"/>
  <c r="E16" i="1"/>
  <c r="L7" i="1" a="1"/>
  <c r="L7" i="1" s="1"/>
  <c r="L18" i="1" s="1"/>
  <c r="L19" i="1" s="1"/>
  <c r="E17" i="1" l="1"/>
  <c r="E24" i="1"/>
  <c r="L12" i="1"/>
  <c r="L23" i="1" l="1"/>
  <c r="L11" i="1"/>
  <c r="L13" i="1" s="1"/>
  <c r="L14"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<sst xmlns="http://schemas.openxmlformats.org/spreadsheetml/2006/main" count="32" uniqueCount="23">
  <si>
    <t>Quantity</t>
  </si>
  <si>
    <t>Fill Price</t>
  </si>
  <si>
    <t>Order Cost</t>
  </si>
  <si>
    <t>Shares sold short</t>
  </si>
  <si>
    <t>Cost basis</t>
  </si>
  <si>
    <t>Current price</t>
  </si>
  <si>
    <t>Buy-to-cover (stop loss)</t>
  </si>
  <si>
    <t>Distance from stop loss (%)</t>
  </si>
  <si>
    <t>Distance from stop loss ($)</t>
  </si>
  <si>
    <t>Profit/(loss) ($)</t>
  </si>
  <si>
    <t>Profit/(loss) (%)</t>
  </si>
  <si>
    <t>Short capital deployed</t>
  </si>
  <si>
    <t>Buy capital deployed</t>
  </si>
  <si>
    <t>Sell Orders</t>
  </si>
  <si>
    <t>Buy Orders</t>
  </si>
  <si>
    <t>Active Orders</t>
  </si>
  <si>
    <t>Active Order Performance</t>
  </si>
  <si>
    <t>Active capital deployed</t>
  </si>
  <si>
    <t>Return on short capital ($)</t>
  </si>
  <si>
    <t>Return on short capital (%)</t>
  </si>
  <si>
    <t>Active Order Metrics</t>
  </si>
  <si>
    <t>Total Order Performance</t>
  </si>
  <si>
    <t>If-Held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</si>
</sst>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6" formatCode="&quot;$&quot;* _%_(_(#,##0.00\ _(_(_%_(;[Red]&quot;$&quot;* _%\(_(#,##0.00_(\)\ _%_(;&quot;$&quot;* _%_(_(&quot;-&quot;\ _(_(_%_(;@"/>
    <numFmt numFmtId="167" formatCode="_%_(_(#,##0\ _(_(_%_(;[Red]_%\(_(#,##0_(\)\ _%_(;_%_(_(&quot;-&quot;\ _(_(_%_(;@"/>
    <numFmt numFmtId="171" formatCode="_%#,##0.00\ %_(_(_(;[Red]_%\(_(#,##0.00\ %_(\)_(;_%_(_(&quot;-&quot;\ _(_(_%_(;@"/>
    <numFmt numFmtId="173" formatCode="_%_(_(#,##0.00\ _(_(_%_(;[Red]_%\(_(#,##0.00_(\)\ _%_(;_%_(_(&quot;-&quot;\ _(_(_%_(;@"/>
  </numFmts>
  <fonts count="3" x14ac:knownFonts="1">
    <font>
      <sz val="11"/>
      <color theme="1"/>
      <name val="Calibri"/>
      <family val="2"/>
    </font>
    <font>
      <b/>
      <sz val="11"/>
      <color theme="1"/>
      <name val="Calibri"/>
      <family val="2"/>
    </font>
    <font>
      <i/>
      <sz val="11"/>
      <color theme="1"/>
      <name val="Calibri"/>
      <family val="2"/>
    </font>
  </fonts>
  <fills count="7">
    <fill>
      <patternFill patternType="none"/>
    </fill>
    <fill>
      <patternFill patternType="gray125"/>
    </fill>
    <fill>
      <patternFill patternType="solid">
        <fgColor rgb="FFFFFFCC"/>
        <bgColor indexed="64"/>
      </patternFill>
    </fill>
    <fill>
      <patternFill patternType="solid">
        <fgColor rgb="FFFF9999"/>
        <bgColor indexed="64"/>
      </patternFill>
    </fill>
    <fill>
      <patternFill patternType="solid">
        <fgColor rgb="FF99FF99"/>
        <bgColor indexed="64"/>
      </patternFill>
    </fill>
    <fill>
      <patternFill patternType="solid">
        <fgColor theme="0" tint="-4.9989318521683403E-2"/>
        <bgColor indexed="64"/>
      </patternFill>
    </fill>
    <fill>
      <patternFill patternType="solid">
        <fgColor theme="2" tint="-9.9978637043366805E-2"/>
        <bgColor indexed="64"/>
      </patternFill>
    </fill>
  </fills>
  <borders count="22">
    <border>
      <left/>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51">
    <xf numFmtId="0" fontId="0" fillId="0" borderId="0" xfId="0"/>
    <xf numFmtId="166" fontId="0" fillId="0" borderId="1" xfId="0" applyNumberFormat="1" applyBorder="1"/>
    <xf numFmtId="173" fontId="0" fillId="0" borderId="3" xfId="0" applyNumberFormat="1" applyBorder="1"/>
    <xf numFmtId="166" fontId="0" fillId="0" borderId="2" xfId="0" applyNumberFormat="1" applyBorder="1"/>
    <xf numFmtId="173" fontId="0" fillId="0" borderId="2" xfId="0" applyNumberFormat="1" applyBorder="1"/>
    <xf numFmtId="167" fontId="0" fillId="0" borderId="5" xfId="0" applyNumberFormat="1" applyBorder="1"/>
    <xf numFmtId="166" fontId="0" fillId="0" borderId="6" xfId="0" applyNumberFormat="1" applyBorder="1"/>
    <xf numFmtId="173" fontId="0" fillId="0" borderId="6" xfId="0" applyNumberFormat="1" applyBorder="1"/>
    <xf numFmtId="0" fontId="1" fillId="2" borderId="7" xfId="0" applyFont="1" applyFill="1" applyBorder="1" applyAlignment="1">
      <alignment horizontal="centerContinuous"/>
    </xf>
    <xf numFmtId="0" fontId="1" fillId="2" borderId="8" xfId="0" applyFont="1" applyFill="1" applyBorder="1" applyAlignment="1">
      <alignment horizontal="centerContinuous"/>
    </xf>
    <xf numFmtId="0" fontId="1" fillId="2" borderId="9" xfId="0" applyFont="1" applyFill="1" applyBorder="1" applyAlignment="1">
      <alignment horizontal="centerContinuous"/>
    </xf>
    <xf numFmtId="167" fontId="0" fillId="0" borderId="10" xfId="0" applyNumberFormat="1" applyBorder="1"/>
    <xf numFmtId="166" fontId="0" fillId="0" borderId="11" xfId="0" applyNumberFormat="1" applyBorder="1"/>
    <xf numFmtId="173" fontId="0" fillId="0" borderId="12" xfId="0" applyNumberFormat="1" applyBorder="1"/>
    <xf numFmtId="0" fontId="0" fillId="0" borderId="5" xfId="0" applyFill="1" applyBorder="1"/>
    <xf numFmtId="0" fontId="0" fillId="0" borderId="5" xfId="0" applyBorder="1"/>
    <xf numFmtId="0" fontId="0" fillId="0" borderId="13" xfId="0" applyBorder="1"/>
    <xf numFmtId="0" fontId="0" fillId="0" borderId="16" xfId="0" applyFont="1" applyBorder="1"/>
    <xf numFmtId="166" fontId="0" fillId="0" borderId="17" xfId="0" applyNumberFormat="1" applyFont="1" applyBorder="1"/>
    <xf numFmtId="0" fontId="0" fillId="0" borderId="5" xfId="0" applyFont="1" applyBorder="1"/>
    <xf numFmtId="171" fontId="0" fillId="0" borderId="12" xfId="0" applyNumberFormat="1" applyFont="1" applyBorder="1"/>
    <xf numFmtId="0" fontId="0" fillId="0" borderId="5" xfId="0" applyFont="1" applyFill="1" applyBorder="1"/>
    <xf numFmtId="166" fontId="0" fillId="0" borderId="12" xfId="0" applyNumberFormat="1" applyFont="1" applyBorder="1"/>
    <xf numFmtId="0" fontId="0" fillId="0" borderId="13" xfId="0" applyFont="1" applyFill="1" applyBorder="1"/>
    <xf numFmtId="171" fontId="0" fillId="0" borderId="14" xfId="0" applyNumberFormat="1" applyFont="1" applyBorder="1"/>
    <xf numFmtId="171" fontId="0" fillId="0" borderId="14" xfId="0" applyNumberFormat="1" applyBorder="1"/>
    <xf numFmtId="0" fontId="0" fillId="0" borderId="16" xfId="0" applyBorder="1"/>
    <xf numFmtId="166" fontId="0" fillId="0" borderId="17" xfId="0" applyNumberFormat="1" applyBorder="1"/>
    <xf numFmtId="167" fontId="0" fillId="0" borderId="14" xfId="0" applyNumberFormat="1" applyBorder="1"/>
    <xf numFmtId="0" fontId="1" fillId="3" borderId="7" xfId="0" applyFont="1" applyFill="1" applyBorder="1" applyAlignment="1">
      <alignment horizontal="centerContinuous"/>
    </xf>
    <xf numFmtId="0" fontId="1" fillId="3" borderId="8" xfId="0" applyFont="1" applyFill="1" applyBorder="1" applyAlignment="1">
      <alignment horizontal="centerContinuous"/>
    </xf>
    <xf numFmtId="0" fontId="1" fillId="3" borderId="9" xfId="0" applyFont="1" applyFill="1" applyBorder="1" applyAlignment="1">
      <alignment horizontal="centerContinuous"/>
    </xf>
    <xf numFmtId="0" fontId="1" fillId="4" borderId="7" xfId="0" applyFont="1" applyFill="1" applyBorder="1" applyAlignment="1">
      <alignment horizontal="centerContinuous"/>
    </xf>
    <xf numFmtId="0" fontId="1" fillId="4" borderId="8" xfId="0" applyFont="1" applyFill="1" applyBorder="1" applyAlignment="1">
      <alignment horizontal="centerContinuous"/>
    </xf>
    <xf numFmtId="0" fontId="1" fillId="4" borderId="9" xfId="0" applyFont="1" applyFill="1" applyBorder="1" applyAlignment="1">
      <alignment horizontal="centerContinuous"/>
    </xf>
    <xf numFmtId="166" fontId="0" fillId="0" borderId="12" xfId="0" applyNumberFormat="1" applyBorder="1"/>
    <xf numFmtId="0" fontId="2" fillId="5" borderId="5" xfId="0" applyFont="1" applyFill="1" applyBorder="1" applyAlignment="1">
      <alignment horizontal="center"/>
    </xf>
    <xf numFmtId="0" fontId="2" fillId="5" borderId="3" xfId="0" applyFont="1" applyFill="1" applyBorder="1" applyAlignment="1">
      <alignment horizontal="center"/>
    </xf>
    <xf numFmtId="0" fontId="2" fillId="5" borderId="12" xfId="0" applyFont="1" applyFill="1" applyBorder="1" applyAlignment="1">
      <alignment horizontal="center"/>
    </xf>
    <xf numFmtId="0" fontId="2" fillId="5" borderId="18" xfId="0" applyFont="1" applyFill="1" applyBorder="1" applyAlignment="1">
      <alignment horizontal="center"/>
    </xf>
    <xf numFmtId="0" fontId="2" fillId="5" borderId="4" xfId="0" applyFont="1" applyFill="1" applyBorder="1" applyAlignment="1">
      <alignment horizontal="center"/>
    </xf>
    <xf numFmtId="0" fontId="2" fillId="5" borderId="19" xfId="0" applyFont="1" applyFill="1" applyBorder="1" applyAlignment="1">
      <alignment horizontal="center"/>
    </xf>
    <xf numFmtId="0" fontId="1" fillId="6" borderId="7" xfId="0" applyFont="1" applyFill="1" applyBorder="1" applyAlignment="1">
      <alignment horizontal="centerContinuous"/>
    </xf>
    <xf numFmtId="0" fontId="1" fillId="6" borderId="8" xfId="0" applyFont="1" applyFill="1" applyBorder="1" applyAlignment="1">
      <alignment horizontal="centerContinuous"/>
    </xf>
    <xf numFmtId="0" fontId="1" fillId="6" borderId="9" xfId="0" applyFont="1" applyFill="1" applyBorder="1" applyAlignment="1">
      <alignment horizontal="centerContinuous"/>
    </xf>
    <xf numFmtId="167" fontId="1" fillId="5" borderId="15" xfId="0" applyNumberFormat="1" applyFont="1" applyFill="1" applyBorder="1" applyAlignment="1">
      <alignment horizontal="centerContinuous"/>
    </xf>
    <xf numFmtId="173" fontId="1" fillId="5" borderId="20" xfId="0" applyNumberFormat="1" applyFont="1" applyFill="1" applyBorder="1" applyAlignment="1">
      <alignment horizontal="centerContinuous"/>
    </xf>
    <xf numFmtId="166" fontId="1" fillId="5" borderId="9" xfId="0" applyNumberFormat="1" applyFont="1" applyFill="1" applyBorder="1"/>
    <xf numFmtId="0" fontId="1" fillId="5" borderId="15" xfId="0" applyFont="1" applyFill="1" applyBorder="1" applyAlignment="1">
      <alignment horizontal="centerContinuous"/>
    </xf>
    <xf numFmtId="173" fontId="1" fillId="5" borderId="8" xfId="0" applyNumberFormat="1" applyFont="1" applyFill="1" applyBorder="1" applyAlignment="1">
      <alignment horizontal="centerContinuous"/>
    </xf>
    <xf numFmtId="166" fontId="1" fillId="5" borderId="21" xfId="0" applyNumberFormat="1" applyFont="1" applyFill="1" applyBorder="1"/>
  </cellXfs>
  <cellStyles count="1">
    <cellStyle name="Normal" xfId="0" builtinId="0"/>
  </cellStyles>
  <dxfs count="0"/>
  <tableStyles count="0" defaultTableStyle="TableStyleMedium2" defaultPivotStyle="PivotStyleLight16"/>
  <colors>
    <mruColors>
      <color rgb="FF99FF99"/>
      <color rgb="FFFF99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https://www.bing.com/financeapi/forcetrigger?t=c3bvbh&amp;q=XNAS%3aBIRD&amp;form=skydnc</v>
    <v>Learn more on Bing</v>
  </rv>
  <rv s="1">
    <v>en-US</v>
    <v>c3bvbh</v>
    <v>268435456</v>
    <v>1</v>
    <v>Powered by Refinitiv</v>
    <v>0</v>
    <v>ALLBIRDS, INC. (XNAS:BIRD)</v>
    <v>2</v>
    <v>3</v>
    <v>Finance</v>
    <v>4</v>
    <v>24.31</v>
    <v>2.15</v>
    <v>3.4836999999999998</v>
    <v>-2.5000000000000001E-2</v>
    <v>-2.2910000000000001E-3</v>
    <v>USD</v>
    <v>Allbirds, Inc. is a global lifestyle brand, which uses sustainable materials to make footwear and apparel products. The Company’s products include men's shoes, women's shoes, men's apparel, women's apparel, and socks. It offers various categories of shoes, including everyday sneakers, active shoes, water-repellent shoes, slip-ons, high tops, and sandals. It provides various categories of men’s apparel, including socks, underwear, tops, and sweats. The Company’s women's apparel includes socks, tees, sweats, underwear, bags, hats, and insoles. Its core franchises include lifestyle and performance shoes, such as the Dasher and the Runner. Its products contain natural and recycled materials, such as superfine ZQ certified merino wool, tree fibers, and sugarcane. The Company’s physical retail channel consists of 33 company operated stores in the United States and United Kingdom, with the majority in the United States.</v>
    <v>200</v>
    <v>Nasdaq Stock Market</v>
    <v>XNAS</v>
    <v>XNAS</v>
    <v>30 Hotaling Place, SAN FRANCISCO, CA, 94111 US</v>
    <v>13.479900000000001</v>
    <v>Textiles &amp; Apparel</v>
    <v>Stock</v>
    <v>46129.779684096873</v>
    <v>0</v>
    <v>10.56</v>
    <v>21683243</v>
    <v>ALLBIRDS, INC.</v>
    <v>ALLBIRDS, INC.</v>
    <v>12.53</v>
    <v>0</v>
    <v>10.91</v>
    <v>10.885</v>
    <v>8708130</v>
    <v>BIRD</v>
    <v>ALLBIRDS, INC. (XNAS:BIRD)</v>
    <v>18134135</v>
    <v>12931262</v>
    <v>2015</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70849-7ABA-43E9-9331-B23D4E4A58E2}">
  <dimension ref="C3:L24"/>
  <sheetViews>
    <sheetView showGridLines="0" tabSelected="1" workbookViewId="0"/>
  </sheetViews>
  <sheetFormatPr defaultColWidth="2.77734375" defaultRowHeight="14.4" x14ac:dyDescent="0.3"/>
  <cols>
    <col min="2" max="2" width="2.77734375" customWidth="1"/>
    <col min="3" max="3" width="9.33203125" bestFit="1" customWidth="1"/>
    <col min="4" max="4" width="13" bestFit="1" customWidth="1"/>
    <col min="5" max="5" width="16.109375" bestFit="1" customWidth="1"/>
    <col min="7" max="7" width="9.33203125" bestFit="1" customWidth="1"/>
    <col min="8" max="8" width="13" bestFit="1" customWidth="1"/>
    <col min="9" max="9" width="16.109375" bestFit="1" customWidth="1"/>
    <col min="10" max="10" width="2.77734375" customWidth="1"/>
    <col min="11" max="11" width="23.33203125" bestFit="1" customWidth="1"/>
    <col min="12" max="12" width="15.6640625" bestFit="1" customWidth="1"/>
    <col min="13" max="18" width="2.77734375" customWidth="1"/>
    <col min="20" max="22" width="2.77734375" customWidth="1"/>
  </cols>
  <sheetData>
    <row r="3" spans="3:12" ht="15" thickBot="1" x14ac:dyDescent="0.35">
      <c r="C3" s="42" t="e" vm="1">
        <v>#VALUE!</v>
      </c>
      <c r="D3" s="43"/>
      <c r="E3" s="44"/>
      <c r="G3" s="8" t="s">
        <v>15</v>
      </c>
      <c r="H3" s="9"/>
      <c r="I3" s="10"/>
      <c r="K3" s="8" t="s">
        <v>20</v>
      </c>
      <c r="L3" s="10"/>
    </row>
    <row r="4" spans="3:12" ht="15" thickBot="1" x14ac:dyDescent="0.35">
      <c r="G4" s="36" t="s">
        <v>0</v>
      </c>
      <c r="H4" s="37" t="s">
        <v>1</v>
      </c>
      <c r="I4" s="38" t="s">
        <v>2</v>
      </c>
      <c r="K4" s="15" t="s">
        <v>17</v>
      </c>
      <c r="L4" s="35">
        <f>I24</f>
        <v>0</v>
      </c>
    </row>
    <row r="5" spans="3:12" ht="15" thickBot="1" x14ac:dyDescent="0.35">
      <c r="C5" s="29" t="s">
        <v>13</v>
      </c>
      <c r="D5" s="30"/>
      <c r="E5" s="31"/>
      <c r="G5" s="11"/>
      <c r="H5" s="1"/>
      <c r="I5" s="12"/>
      <c r="K5" s="14" t="s">
        <v>6</v>
      </c>
      <c r="L5" s="13">
        <v>12.5</v>
      </c>
    </row>
    <row r="6" spans="3:12" x14ac:dyDescent="0.3">
      <c r="C6" s="39" t="s">
        <v>0</v>
      </c>
      <c r="D6" s="40" t="s">
        <v>1</v>
      </c>
      <c r="E6" s="41" t="s">
        <v>2</v>
      </c>
      <c r="G6" s="5"/>
      <c r="H6" s="2"/>
      <c r="I6" s="13"/>
      <c r="K6" s="15" t="s">
        <v>4</v>
      </c>
      <c r="L6" s="13">
        <f>IFERROR(L4/L8,0)</f>
        <v>0</v>
      </c>
    </row>
    <row r="7" spans="3:12" x14ac:dyDescent="0.3">
      <c r="C7" s="5">
        <v>10</v>
      </c>
      <c r="D7" s="3">
        <v>11.67</v>
      </c>
      <c r="E7" s="6">
        <f>PRODUCT(C7:D7)</f>
        <v>116.7</v>
      </c>
      <c r="G7" s="5"/>
      <c r="H7" s="2"/>
      <c r="I7" s="13"/>
      <c r="K7" s="15" t="s">
        <v>5</v>
      </c>
      <c r="L7" s="13" cm="1">
        <f t="array" aca="1" ref="L7" ca="1">_FV(C3,"Price")</f>
        <v>10.885</v>
      </c>
    </row>
    <row r="8" spans="3:12" ht="15" thickBot="1" x14ac:dyDescent="0.35">
      <c r="C8" s="5">
        <v>30</v>
      </c>
      <c r="D8" s="4">
        <v>11.664999999999999</v>
      </c>
      <c r="E8" s="7">
        <f>PRODUCT(C8:D8)</f>
        <v>349.95</v>
      </c>
      <c r="G8" s="5"/>
      <c r="H8" s="2"/>
      <c r="I8" s="13"/>
      <c r="K8" s="16" t="s">
        <v>3</v>
      </c>
      <c r="L8" s="28">
        <f>SUM(G5:G23)</f>
        <v>0</v>
      </c>
    </row>
    <row r="9" spans="3:12" ht="15" thickBot="1" x14ac:dyDescent="0.35">
      <c r="C9" s="5">
        <v>10</v>
      </c>
      <c r="D9" s="4">
        <v>11.949</v>
      </c>
      <c r="E9" s="7">
        <f>PRODUCT(C9:D9)</f>
        <v>119.49</v>
      </c>
      <c r="G9" s="5"/>
      <c r="H9" s="2"/>
      <c r="I9" s="13"/>
    </row>
    <row r="10" spans="3:12" ht="15" thickBot="1" x14ac:dyDescent="0.35">
      <c r="C10" s="5">
        <v>10</v>
      </c>
      <c r="D10" s="4">
        <v>11.86</v>
      </c>
      <c r="E10" s="7">
        <f>PRODUCT(C10:D10)</f>
        <v>118.6</v>
      </c>
      <c r="G10" s="5"/>
      <c r="H10" s="2"/>
      <c r="I10" s="13"/>
      <c r="K10" s="8" t="s">
        <v>16</v>
      </c>
      <c r="L10" s="10"/>
    </row>
    <row r="11" spans="3:12" x14ac:dyDescent="0.3">
      <c r="C11" s="5">
        <v>10</v>
      </c>
      <c r="D11" s="4">
        <v>11.880100000000001</v>
      </c>
      <c r="E11" s="7">
        <f>PRODUCT(C11:D11)</f>
        <v>118.801</v>
      </c>
      <c r="G11" s="5"/>
      <c r="H11" s="2"/>
      <c r="I11" s="13"/>
      <c r="K11" s="17" t="s">
        <v>9</v>
      </c>
      <c r="L11" s="18">
        <f ca="1">(L6-L7)*L8</f>
        <v>0</v>
      </c>
    </row>
    <row r="12" spans="3:12" x14ac:dyDescent="0.3">
      <c r="C12" s="5">
        <v>10</v>
      </c>
      <c r="D12" s="4">
        <v>12.21</v>
      </c>
      <c r="E12" s="7">
        <f>PRODUCT(C12:D12)</f>
        <v>122.10000000000001</v>
      </c>
      <c r="G12" s="5"/>
      <c r="H12" s="2"/>
      <c r="I12" s="13"/>
      <c r="K12" s="21" t="s">
        <v>8</v>
      </c>
      <c r="L12" s="22">
        <f ca="1">L5-L7</f>
        <v>1.6150000000000002</v>
      </c>
    </row>
    <row r="13" spans="3:12" x14ac:dyDescent="0.3">
      <c r="C13" s="5">
        <v>5</v>
      </c>
      <c r="D13" s="4">
        <v>12.101599999999999</v>
      </c>
      <c r="E13" s="7">
        <f>PRODUCT(C13:D13)</f>
        <v>60.507999999999996</v>
      </c>
      <c r="G13" s="5"/>
      <c r="H13" s="2"/>
      <c r="I13" s="13"/>
      <c r="K13" s="19" t="s">
        <v>10</v>
      </c>
      <c r="L13" s="20">
        <f ca="1">IFERROR(L11/L4,0)</f>
        <v>0</v>
      </c>
    </row>
    <row r="14" spans="3:12" ht="15" thickBot="1" x14ac:dyDescent="0.35">
      <c r="C14" s="5">
        <v>5</v>
      </c>
      <c r="D14" s="4">
        <v>12.18</v>
      </c>
      <c r="E14" s="7">
        <f>PRODUCT(C14:D14)</f>
        <v>60.9</v>
      </c>
      <c r="G14" s="5"/>
      <c r="H14" s="2"/>
      <c r="I14" s="13"/>
      <c r="K14" s="23" t="s">
        <v>7</v>
      </c>
      <c r="L14" s="24">
        <f ca="1">(L5/L7)-1</f>
        <v>0.14836931557188793</v>
      </c>
    </row>
    <row r="15" spans="3:12" x14ac:dyDescent="0.3">
      <c r="C15" s="5">
        <v>10</v>
      </c>
      <c r="D15" s="4">
        <v>12.31</v>
      </c>
      <c r="E15" s="7">
        <f>PRODUCT(C15:D15)</f>
        <v>123.10000000000001</v>
      </c>
      <c r="G15" s="5"/>
      <c r="H15" s="2"/>
      <c r="I15" s="13"/>
    </row>
    <row r="16" spans="3:12" ht="15" thickBot="1" x14ac:dyDescent="0.35">
      <c r="C16" s="5">
        <v>20</v>
      </c>
      <c r="D16" s="4">
        <v>12.35</v>
      </c>
      <c r="E16" s="7">
        <f>PRODUCT(C16:D16)</f>
        <v>247</v>
      </c>
      <c r="G16" s="5"/>
      <c r="H16" s="2"/>
      <c r="I16" s="13"/>
    </row>
    <row r="17" spans="3:12" ht="15" thickBot="1" x14ac:dyDescent="0.35">
      <c r="C17" s="48" t="s">
        <v>11</v>
      </c>
      <c r="D17" s="49"/>
      <c r="E17" s="50">
        <f>SUM(E7:E16)</f>
        <v>1437.1490000000001</v>
      </c>
      <c r="G17" s="5"/>
      <c r="H17" s="2"/>
      <c r="I17" s="13"/>
      <c r="K17" s="42" t="s">
        <v>22</v>
      </c>
      <c r="L17" s="44"/>
    </row>
    <row r="18" spans="3:12" ht="15" thickBot="1" x14ac:dyDescent="0.35">
      <c r="G18" s="5"/>
      <c r="H18" s="2"/>
      <c r="I18" s="13"/>
      <c r="K18" s="26" t="s">
        <v>18</v>
      </c>
      <c r="L18" s="27">
        <f ca="1">E17-(L7*SUM(C7:C16))</f>
        <v>130.94900000000007</v>
      </c>
    </row>
    <row r="19" spans="3:12" ht="15" thickBot="1" x14ac:dyDescent="0.35">
      <c r="C19" s="32" t="s">
        <v>14</v>
      </c>
      <c r="D19" s="33"/>
      <c r="E19" s="34"/>
      <c r="G19" s="5"/>
      <c r="H19" s="2"/>
      <c r="I19" s="13"/>
      <c r="K19" s="16" t="s">
        <v>19</v>
      </c>
      <c r="L19" s="25">
        <f ca="1">L18/E17</f>
        <v>9.111720496622136E-2</v>
      </c>
    </row>
    <row r="20" spans="3:12" x14ac:dyDescent="0.3">
      <c r="C20" s="39" t="s">
        <v>0</v>
      </c>
      <c r="D20" s="40" t="s">
        <v>1</v>
      </c>
      <c r="E20" s="41" t="s">
        <v>2</v>
      </c>
      <c r="G20" s="5"/>
      <c r="H20" s="2"/>
      <c r="I20" s="13"/>
    </row>
    <row r="21" spans="3:12" ht="15" thickBot="1" x14ac:dyDescent="0.35">
      <c r="C21" s="5">
        <v>40</v>
      </c>
      <c r="D21" s="3">
        <v>11.55</v>
      </c>
      <c r="E21" s="6">
        <f>PRODUCT(C21:D21)</f>
        <v>462</v>
      </c>
      <c r="G21" s="5"/>
      <c r="H21" s="2"/>
      <c r="I21" s="13"/>
    </row>
    <row r="22" spans="3:12" ht="15" thickBot="1" x14ac:dyDescent="0.35">
      <c r="C22" s="5">
        <v>10</v>
      </c>
      <c r="D22" s="4">
        <v>11.885</v>
      </c>
      <c r="E22" s="7">
        <f>PRODUCT(C22:D22)</f>
        <v>118.85</v>
      </c>
      <c r="G22" s="5"/>
      <c r="H22" s="2"/>
      <c r="I22" s="13"/>
      <c r="K22" s="42" t="s">
        <v>21</v>
      </c>
      <c r="L22" s="44"/>
    </row>
    <row r="23" spans="3:12" ht="15" thickBot="1" x14ac:dyDescent="0.35">
      <c r="C23" s="5">
        <v>70</v>
      </c>
      <c r="D23" s="4">
        <v>11.879300000000001</v>
      </c>
      <c r="E23" s="7">
        <f>PRODUCT(C23:D23)</f>
        <v>831.55100000000004</v>
      </c>
      <c r="G23" s="5"/>
      <c r="H23" s="2"/>
      <c r="I23" s="13"/>
      <c r="K23" s="26" t="s">
        <v>18</v>
      </c>
      <c r="L23" s="27">
        <f>E17-E24</f>
        <v>24.748000000000047</v>
      </c>
    </row>
    <row r="24" spans="3:12" ht="15" thickBot="1" x14ac:dyDescent="0.35">
      <c r="C24" s="48" t="s">
        <v>12</v>
      </c>
      <c r="D24" s="49"/>
      <c r="E24" s="50">
        <f>SUM(E21:E23)</f>
        <v>1412.4010000000001</v>
      </c>
      <c r="G24" s="45" t="s">
        <v>17</v>
      </c>
      <c r="H24" s="46"/>
      <c r="I24" s="47">
        <f>SUM(I5:I21)</f>
        <v>0</v>
      </c>
      <c r="K24" s="16" t="s">
        <v>19</v>
      </c>
      <c r="L24" s="25">
        <f>L23/E17</f>
        <v>1.722020472477109E-2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E Pilcher</dc:creator>
  <cp:lastModifiedBy>Joshua E Pilcher</cp:lastModifiedBy>
  <dcterms:created xsi:type="dcterms:W3CDTF">2026-04-17T15:45:27Z</dcterms:created>
  <dcterms:modified xsi:type="dcterms:W3CDTF">2026-04-17T18:43:05Z</dcterms:modified>
</cp:coreProperties>
</file>