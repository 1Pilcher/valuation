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ilc\OneDrive - Louisiana State University\Desktop\valuation\research\"/>
    </mc:Choice>
  </mc:AlternateContent>
  <xr:revisionPtr revIDLastSave="0" documentId="13_ncr:1_{19041363-75D7-46C2-BBD1-31C8F5EED263}" xr6:coauthVersionLast="47" xr6:coauthVersionMax="47" xr10:uidLastSave="{00000000-0000-0000-0000-000000000000}"/>
  <bookViews>
    <workbookView xWindow="-96" yWindow="-96" windowWidth="23232" windowHeight="13872" activeTab="1" xr2:uid="{459813CF-6C60-48CC-92D1-238D4162F172}"/>
  </bookViews>
  <sheets>
    <sheet name="EV" sheetId="2" r:id="rId1"/>
    <sheet name="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N35" i="1"/>
  <c r="N31" i="1"/>
  <c r="F15" i="1"/>
  <c r="F46" i="1" s="1"/>
  <c r="F14" i="1"/>
  <c r="G14" i="1" s="1"/>
  <c r="H14" i="1" s="1"/>
  <c r="I14" i="1" s="1"/>
  <c r="J14" i="1" s="1"/>
  <c r="K14" i="1" s="1"/>
  <c r="F12" i="1"/>
  <c r="F43" i="1" s="1"/>
  <c r="F6" i="1"/>
  <c r="F37" i="1" s="1"/>
  <c r="F5" i="1"/>
  <c r="G5" i="1" s="1"/>
  <c r="N33" i="1"/>
  <c r="C7" i="2"/>
  <c r="C6" i="2"/>
  <c r="C5" i="2"/>
  <c r="C8" i="2" s="1"/>
  <c r="F16" i="1"/>
  <c r="F47" i="1" s="1"/>
  <c r="D37" i="1"/>
  <c r="E37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50" i="1"/>
  <c r="E50" i="1"/>
  <c r="D51" i="1"/>
  <c r="E51" i="1"/>
  <c r="E36" i="1"/>
  <c r="D36" i="1"/>
  <c r="D34" i="1"/>
  <c r="E34" i="1" s="1"/>
  <c r="F34" i="1" s="1"/>
  <c r="G34" i="1" s="1"/>
  <c r="H34" i="1" s="1"/>
  <c r="I34" i="1" s="1"/>
  <c r="J34" i="1" s="1"/>
  <c r="K34" i="1" s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KT3" i="1" s="1"/>
  <c r="KU3" i="1" s="1"/>
  <c r="KV3" i="1" s="1"/>
  <c r="KW3" i="1" s="1"/>
  <c r="KX3" i="1" s="1"/>
  <c r="KY3" i="1" s="1"/>
  <c r="KZ3" i="1" s="1"/>
  <c r="LA3" i="1" s="1"/>
  <c r="LB3" i="1" s="1"/>
  <c r="LC3" i="1" s="1"/>
  <c r="LD3" i="1" s="1"/>
  <c r="LE3" i="1" s="1"/>
  <c r="LF3" i="1" s="1"/>
  <c r="LG3" i="1" s="1"/>
  <c r="LH3" i="1" s="1"/>
  <c r="LI3" i="1" s="1"/>
  <c r="LJ3" i="1" s="1"/>
  <c r="LK3" i="1" s="1"/>
  <c r="LL3" i="1" s="1"/>
  <c r="LM3" i="1" s="1"/>
  <c r="LN3" i="1" s="1"/>
  <c r="LO3" i="1" s="1"/>
  <c r="LP3" i="1" s="1"/>
  <c r="LQ3" i="1" s="1"/>
  <c r="LR3" i="1" s="1"/>
  <c r="LS3" i="1" s="1"/>
  <c r="LT3" i="1" s="1"/>
  <c r="LU3" i="1" s="1"/>
  <c r="LV3" i="1" s="1"/>
  <c r="LW3" i="1" s="1"/>
  <c r="LX3" i="1" s="1"/>
  <c r="LY3" i="1" s="1"/>
  <c r="LZ3" i="1" s="1"/>
  <c r="MA3" i="1" s="1"/>
  <c r="MB3" i="1" s="1"/>
  <c r="MC3" i="1" s="1"/>
  <c r="MD3" i="1" s="1"/>
  <c r="ME3" i="1" s="1"/>
  <c r="MF3" i="1" s="1"/>
  <c r="MG3" i="1" s="1"/>
  <c r="MH3" i="1" s="1"/>
  <c r="MI3" i="1" s="1"/>
  <c r="MJ3" i="1" s="1"/>
  <c r="MK3" i="1" s="1"/>
  <c r="ML3" i="1" s="1"/>
  <c r="MM3" i="1" s="1"/>
  <c r="MN3" i="1" s="1"/>
  <c r="MO3" i="1" s="1"/>
  <c r="MP3" i="1" s="1"/>
  <c r="MQ3" i="1" s="1"/>
  <c r="MR3" i="1" s="1"/>
  <c r="MS3" i="1" s="1"/>
  <c r="MT3" i="1" s="1"/>
  <c r="MU3" i="1" s="1"/>
  <c r="MV3" i="1" s="1"/>
  <c r="MW3" i="1" s="1"/>
  <c r="MX3" i="1" s="1"/>
  <c r="MY3" i="1" s="1"/>
  <c r="MZ3" i="1" s="1"/>
  <c r="NA3" i="1" s="1"/>
  <c r="NB3" i="1" s="1"/>
  <c r="NC3" i="1" s="1"/>
  <c r="ND3" i="1" s="1"/>
  <c r="NE3" i="1" s="1"/>
  <c r="NF3" i="1" s="1"/>
  <c r="NG3" i="1" s="1"/>
  <c r="NH3" i="1" s="1"/>
  <c r="NI3" i="1" s="1"/>
  <c r="NJ3" i="1" s="1"/>
  <c r="NK3" i="1" s="1"/>
  <c r="NL3" i="1" s="1"/>
  <c r="NM3" i="1" s="1"/>
  <c r="NN3" i="1" s="1"/>
  <c r="NO3" i="1" s="1"/>
  <c r="NP3" i="1" s="1"/>
  <c r="NQ3" i="1" s="1"/>
  <c r="C17" i="1"/>
  <c r="C7" i="1"/>
  <c r="D17" i="1"/>
  <c r="D7" i="1"/>
  <c r="E17" i="1"/>
  <c r="E7" i="1"/>
  <c r="F7" i="1" l="1"/>
  <c r="F13" i="1" s="1"/>
  <c r="F44" i="1" s="1"/>
  <c r="F36" i="1"/>
  <c r="E48" i="1"/>
  <c r="D18" i="1"/>
  <c r="D21" i="1" s="1"/>
  <c r="G6" i="1"/>
  <c r="G37" i="1" s="1"/>
  <c r="F9" i="1"/>
  <c r="F40" i="1" s="1"/>
  <c r="G16" i="1"/>
  <c r="G47" i="1" s="1"/>
  <c r="G9" i="1"/>
  <c r="H5" i="1"/>
  <c r="G12" i="1"/>
  <c r="H12" i="1" s="1"/>
  <c r="I12" i="1" s="1"/>
  <c r="J12" i="1" s="1"/>
  <c r="K12" i="1" s="1"/>
  <c r="G15" i="1"/>
  <c r="H15" i="1" s="1"/>
  <c r="I15" i="1" s="1"/>
  <c r="J15" i="1" s="1"/>
  <c r="K15" i="1" s="1"/>
  <c r="F45" i="1"/>
  <c r="H45" i="1"/>
  <c r="G45" i="1"/>
  <c r="J45" i="1"/>
  <c r="K45" i="1"/>
  <c r="I45" i="1"/>
  <c r="G36" i="1"/>
  <c r="D48" i="1"/>
  <c r="E18" i="1"/>
  <c r="E21" i="1" s="1"/>
  <c r="E38" i="1"/>
  <c r="D38" i="1"/>
  <c r="C18" i="1"/>
  <c r="E29" i="1" l="1"/>
  <c r="F10" i="1"/>
  <c r="F41" i="1" s="1"/>
  <c r="F11" i="1"/>
  <c r="F42" i="1" s="1"/>
  <c r="H16" i="1"/>
  <c r="I16" i="1" s="1"/>
  <c r="J16" i="1" s="1"/>
  <c r="K16" i="1" s="1"/>
  <c r="K47" i="1" s="1"/>
  <c r="F38" i="1"/>
  <c r="G7" i="1"/>
  <c r="G11" i="1" s="1"/>
  <c r="E49" i="1"/>
  <c r="D29" i="1"/>
  <c r="G40" i="1"/>
  <c r="H6" i="1"/>
  <c r="H7" i="1" s="1"/>
  <c r="H11" i="1" s="1"/>
  <c r="E30" i="1"/>
  <c r="F21" i="1"/>
  <c r="I5" i="1"/>
  <c r="I36" i="1" s="1"/>
  <c r="H9" i="1"/>
  <c r="H40" i="1" s="1"/>
  <c r="H36" i="1"/>
  <c r="G46" i="1"/>
  <c r="G43" i="1"/>
  <c r="C21" i="1"/>
  <c r="C30" i="1" s="1"/>
  <c r="C29" i="1"/>
  <c r="D49" i="1"/>
  <c r="D30" i="1"/>
  <c r="E52" i="1"/>
  <c r="G13" i="1" l="1"/>
  <c r="G44" i="1" s="1"/>
  <c r="I47" i="1"/>
  <c r="F17" i="1"/>
  <c r="F48" i="1" s="1"/>
  <c r="G42" i="1"/>
  <c r="H47" i="1"/>
  <c r="G10" i="1"/>
  <c r="G41" i="1" s="1"/>
  <c r="G38" i="1"/>
  <c r="H42" i="1"/>
  <c r="J47" i="1"/>
  <c r="H38" i="1"/>
  <c r="H37" i="1"/>
  <c r="H13" i="1"/>
  <c r="I6" i="1"/>
  <c r="I37" i="1" s="1"/>
  <c r="H10" i="1"/>
  <c r="I9" i="1"/>
  <c r="I40" i="1" s="1"/>
  <c r="J5" i="1"/>
  <c r="G21" i="1"/>
  <c r="F52" i="1"/>
  <c r="D52" i="1"/>
  <c r="H46" i="1"/>
  <c r="H43" i="1"/>
  <c r="F18" i="1" l="1"/>
  <c r="F49" i="1" s="1"/>
  <c r="H44" i="1"/>
  <c r="I7" i="1"/>
  <c r="I10" i="1" s="1"/>
  <c r="I41" i="1" s="1"/>
  <c r="G17" i="1"/>
  <c r="G48" i="1" s="1"/>
  <c r="H41" i="1"/>
  <c r="J6" i="1"/>
  <c r="J7" i="1" s="1"/>
  <c r="J13" i="1" s="1"/>
  <c r="H17" i="1"/>
  <c r="H21" i="1"/>
  <c r="G52" i="1"/>
  <c r="J9" i="1"/>
  <c r="J40" i="1" s="1"/>
  <c r="K5" i="1"/>
  <c r="J36" i="1"/>
  <c r="I46" i="1"/>
  <c r="I43" i="1"/>
  <c r="F20" i="1" l="1"/>
  <c r="F51" i="1" s="1"/>
  <c r="J37" i="1"/>
  <c r="J11" i="1"/>
  <c r="J10" i="1"/>
  <c r="J41" i="1" s="1"/>
  <c r="J38" i="1"/>
  <c r="K6" i="1"/>
  <c r="K7" i="1" s="1"/>
  <c r="I38" i="1"/>
  <c r="I13" i="1"/>
  <c r="I44" i="1" s="1"/>
  <c r="I11" i="1"/>
  <c r="I42" i="1" s="1"/>
  <c r="G18" i="1"/>
  <c r="H18" i="1"/>
  <c r="H48" i="1"/>
  <c r="K9" i="1"/>
  <c r="K40" i="1" s="1"/>
  <c r="K36" i="1"/>
  <c r="I21" i="1"/>
  <c r="H52" i="1"/>
  <c r="K46" i="1"/>
  <c r="J46" i="1"/>
  <c r="J43" i="1"/>
  <c r="J17" i="1"/>
  <c r="K37" i="1" l="1"/>
  <c r="J42" i="1"/>
  <c r="I17" i="1"/>
  <c r="J48" i="1" s="1"/>
  <c r="J44" i="1"/>
  <c r="G49" i="1"/>
  <c r="G20" i="1"/>
  <c r="G51" i="1" s="1"/>
  <c r="H20" i="1"/>
  <c r="H49" i="1"/>
  <c r="I52" i="1"/>
  <c r="K10" i="1"/>
  <c r="K41" i="1" s="1"/>
  <c r="K11" i="1"/>
  <c r="K42" i="1" s="1"/>
  <c r="K13" i="1"/>
  <c r="K44" i="1" s="1"/>
  <c r="J18" i="1"/>
  <c r="K43" i="1"/>
  <c r="K38" i="1"/>
  <c r="H51" i="1" l="1"/>
  <c r="I48" i="1"/>
  <c r="I18" i="1"/>
  <c r="J49" i="1" s="1"/>
  <c r="K17" i="1"/>
  <c r="K48" i="1" s="1"/>
  <c r="K21" i="1"/>
  <c r="J52" i="1"/>
  <c r="K18" i="1" l="1"/>
  <c r="K20" i="1" s="1"/>
  <c r="K51" i="1" s="1"/>
  <c r="I20" i="1"/>
  <c r="I51" i="1" s="1"/>
  <c r="I49" i="1"/>
  <c r="K52" i="1"/>
  <c r="L21" i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DC21" i="1" s="1"/>
  <c r="DD21" i="1" s="1"/>
  <c r="DE21" i="1" s="1"/>
  <c r="DF21" i="1" s="1"/>
  <c r="DG21" i="1" s="1"/>
  <c r="DH21" i="1" s="1"/>
  <c r="DI21" i="1" s="1"/>
  <c r="DJ21" i="1" s="1"/>
  <c r="DK21" i="1" s="1"/>
  <c r="DL21" i="1" s="1"/>
  <c r="DM21" i="1" s="1"/>
  <c r="DN21" i="1" s="1"/>
  <c r="DO21" i="1" s="1"/>
  <c r="DP21" i="1" s="1"/>
  <c r="DQ21" i="1" s="1"/>
  <c r="DR21" i="1" s="1"/>
  <c r="DS21" i="1" s="1"/>
  <c r="DT21" i="1" s="1"/>
  <c r="DU21" i="1" s="1"/>
  <c r="DV21" i="1" s="1"/>
  <c r="DW21" i="1" s="1"/>
  <c r="DX21" i="1" s="1"/>
  <c r="DY21" i="1" s="1"/>
  <c r="DZ21" i="1" s="1"/>
  <c r="EA21" i="1" s="1"/>
  <c r="EB21" i="1" s="1"/>
  <c r="EC21" i="1" s="1"/>
  <c r="ED21" i="1" s="1"/>
  <c r="EE21" i="1" s="1"/>
  <c r="EF21" i="1" s="1"/>
  <c r="EG21" i="1" s="1"/>
  <c r="EH21" i="1" s="1"/>
  <c r="EI21" i="1" s="1"/>
  <c r="EJ21" i="1" s="1"/>
  <c r="EK21" i="1" s="1"/>
  <c r="EL21" i="1" s="1"/>
  <c r="EM21" i="1" s="1"/>
  <c r="EN21" i="1" s="1"/>
  <c r="EO21" i="1" s="1"/>
  <c r="EP21" i="1" s="1"/>
  <c r="EQ21" i="1" s="1"/>
  <c r="ER21" i="1" s="1"/>
  <c r="ES21" i="1" s="1"/>
  <c r="ET21" i="1" s="1"/>
  <c r="EU21" i="1" s="1"/>
  <c r="EV21" i="1" s="1"/>
  <c r="EW21" i="1" s="1"/>
  <c r="EX21" i="1" s="1"/>
  <c r="EY21" i="1" s="1"/>
  <c r="EZ21" i="1" s="1"/>
  <c r="FA21" i="1" s="1"/>
  <c r="FB21" i="1" s="1"/>
  <c r="FC21" i="1" s="1"/>
  <c r="FD21" i="1" s="1"/>
  <c r="FE21" i="1" s="1"/>
  <c r="FF21" i="1" s="1"/>
  <c r="FG21" i="1" s="1"/>
  <c r="FH21" i="1" s="1"/>
  <c r="FI21" i="1" s="1"/>
  <c r="FJ21" i="1" s="1"/>
  <c r="FK21" i="1" s="1"/>
  <c r="FL21" i="1" s="1"/>
  <c r="FM21" i="1" s="1"/>
  <c r="FN21" i="1" s="1"/>
  <c r="FO21" i="1" s="1"/>
  <c r="FP21" i="1" s="1"/>
  <c r="FQ21" i="1" s="1"/>
  <c r="FR21" i="1" s="1"/>
  <c r="FS21" i="1" s="1"/>
  <c r="FT21" i="1" s="1"/>
  <c r="FU21" i="1" s="1"/>
  <c r="FV21" i="1" s="1"/>
  <c r="FW21" i="1" s="1"/>
  <c r="FX21" i="1" s="1"/>
  <c r="FY21" i="1" s="1"/>
  <c r="FZ21" i="1" s="1"/>
  <c r="GA21" i="1" s="1"/>
  <c r="GB21" i="1" s="1"/>
  <c r="GC21" i="1" s="1"/>
  <c r="GD21" i="1" s="1"/>
  <c r="GE21" i="1" s="1"/>
  <c r="GF21" i="1" s="1"/>
  <c r="GG21" i="1" s="1"/>
  <c r="GH21" i="1" s="1"/>
  <c r="GI21" i="1" s="1"/>
  <c r="GJ21" i="1" s="1"/>
  <c r="GK21" i="1" s="1"/>
  <c r="GL21" i="1" s="1"/>
  <c r="GM21" i="1" s="1"/>
  <c r="GN21" i="1" s="1"/>
  <c r="GO21" i="1" s="1"/>
  <c r="GP21" i="1" s="1"/>
  <c r="GQ21" i="1" s="1"/>
  <c r="GR21" i="1" s="1"/>
  <c r="GS21" i="1" s="1"/>
  <c r="GT21" i="1" s="1"/>
  <c r="GU21" i="1" s="1"/>
  <c r="GV21" i="1" s="1"/>
  <c r="GW21" i="1" s="1"/>
  <c r="GX21" i="1" s="1"/>
  <c r="GY21" i="1" s="1"/>
  <c r="GZ21" i="1" s="1"/>
  <c r="HA21" i="1" s="1"/>
  <c r="HB21" i="1" s="1"/>
  <c r="HC21" i="1" s="1"/>
  <c r="HD21" i="1" s="1"/>
  <c r="HE21" i="1" s="1"/>
  <c r="HF21" i="1" s="1"/>
  <c r="HG21" i="1" s="1"/>
  <c r="HH21" i="1" s="1"/>
  <c r="HI21" i="1" s="1"/>
  <c r="HJ21" i="1" s="1"/>
  <c r="HK21" i="1" s="1"/>
  <c r="HL21" i="1" s="1"/>
  <c r="HM21" i="1" s="1"/>
  <c r="HN21" i="1" s="1"/>
  <c r="HO21" i="1" s="1"/>
  <c r="HP21" i="1" s="1"/>
  <c r="HQ21" i="1" s="1"/>
  <c r="HR21" i="1" s="1"/>
  <c r="HS21" i="1" s="1"/>
  <c r="HT21" i="1" s="1"/>
  <c r="HU21" i="1" s="1"/>
  <c r="HV21" i="1" s="1"/>
  <c r="HW21" i="1" s="1"/>
  <c r="HX21" i="1" s="1"/>
  <c r="HY21" i="1" s="1"/>
  <c r="HZ21" i="1" s="1"/>
  <c r="IA21" i="1" s="1"/>
  <c r="IB21" i="1" s="1"/>
  <c r="IC21" i="1" s="1"/>
  <c r="ID21" i="1" s="1"/>
  <c r="IE21" i="1" s="1"/>
  <c r="IF21" i="1" s="1"/>
  <c r="IG21" i="1" s="1"/>
  <c r="IH21" i="1" s="1"/>
  <c r="II21" i="1" s="1"/>
  <c r="IJ21" i="1" s="1"/>
  <c r="IK21" i="1" s="1"/>
  <c r="IL21" i="1" s="1"/>
  <c r="IM21" i="1" s="1"/>
  <c r="IN21" i="1" s="1"/>
  <c r="IO21" i="1" s="1"/>
  <c r="IP21" i="1" s="1"/>
  <c r="IQ21" i="1" s="1"/>
  <c r="IR21" i="1" s="1"/>
  <c r="IS21" i="1" s="1"/>
  <c r="IT21" i="1" s="1"/>
  <c r="IU21" i="1" s="1"/>
  <c r="IV21" i="1" s="1"/>
  <c r="IW21" i="1" s="1"/>
  <c r="IX21" i="1" s="1"/>
  <c r="IY21" i="1" s="1"/>
  <c r="IZ21" i="1" s="1"/>
  <c r="JA21" i="1" s="1"/>
  <c r="JB21" i="1" s="1"/>
  <c r="JC21" i="1" s="1"/>
  <c r="JD21" i="1" s="1"/>
  <c r="JE21" i="1" s="1"/>
  <c r="JF21" i="1" s="1"/>
  <c r="JG21" i="1" s="1"/>
  <c r="JH21" i="1" s="1"/>
  <c r="JI21" i="1" s="1"/>
  <c r="JJ21" i="1" s="1"/>
  <c r="JK21" i="1" s="1"/>
  <c r="JL21" i="1" s="1"/>
  <c r="JM21" i="1" s="1"/>
  <c r="JN21" i="1" s="1"/>
  <c r="JO21" i="1" s="1"/>
  <c r="JP21" i="1" s="1"/>
  <c r="JQ21" i="1" s="1"/>
  <c r="JR21" i="1" s="1"/>
  <c r="JS21" i="1" s="1"/>
  <c r="JT21" i="1" s="1"/>
  <c r="JU21" i="1" s="1"/>
  <c r="JV21" i="1" s="1"/>
  <c r="JW21" i="1" s="1"/>
  <c r="JX21" i="1" s="1"/>
  <c r="JY21" i="1" s="1"/>
  <c r="JZ21" i="1" s="1"/>
  <c r="KA21" i="1" s="1"/>
  <c r="KB21" i="1" s="1"/>
  <c r="KC21" i="1" s="1"/>
  <c r="KD21" i="1" s="1"/>
  <c r="KE21" i="1" s="1"/>
  <c r="KF21" i="1" s="1"/>
  <c r="KG21" i="1" s="1"/>
  <c r="KH21" i="1" s="1"/>
  <c r="KI21" i="1" s="1"/>
  <c r="KJ21" i="1" s="1"/>
  <c r="KK21" i="1" s="1"/>
  <c r="KL21" i="1" s="1"/>
  <c r="KM21" i="1" s="1"/>
  <c r="KN21" i="1" s="1"/>
  <c r="KO21" i="1" s="1"/>
  <c r="KP21" i="1" s="1"/>
  <c r="KQ21" i="1" s="1"/>
  <c r="KR21" i="1" s="1"/>
  <c r="KS21" i="1" s="1"/>
  <c r="KT21" i="1" s="1"/>
  <c r="KU21" i="1" s="1"/>
  <c r="KV21" i="1" s="1"/>
  <c r="KW21" i="1" s="1"/>
  <c r="KX21" i="1" s="1"/>
  <c r="KY21" i="1" s="1"/>
  <c r="KZ21" i="1" s="1"/>
  <c r="LA21" i="1" s="1"/>
  <c r="LB21" i="1" s="1"/>
  <c r="LC21" i="1" s="1"/>
  <c r="LD21" i="1" s="1"/>
  <c r="LE21" i="1" s="1"/>
  <c r="LF21" i="1" s="1"/>
  <c r="LG21" i="1" s="1"/>
  <c r="LH21" i="1" s="1"/>
  <c r="LI21" i="1" s="1"/>
  <c r="LJ21" i="1" s="1"/>
  <c r="LK21" i="1" s="1"/>
  <c r="LL21" i="1" s="1"/>
  <c r="LM21" i="1" s="1"/>
  <c r="LN21" i="1" s="1"/>
  <c r="LO21" i="1" s="1"/>
  <c r="LP21" i="1" s="1"/>
  <c r="LQ21" i="1" s="1"/>
  <c r="LR21" i="1" s="1"/>
  <c r="LS21" i="1" s="1"/>
  <c r="LT21" i="1" s="1"/>
  <c r="LU21" i="1" s="1"/>
  <c r="LV21" i="1" s="1"/>
  <c r="LW21" i="1" s="1"/>
  <c r="LX21" i="1" s="1"/>
  <c r="LY21" i="1" s="1"/>
  <c r="LZ21" i="1" s="1"/>
  <c r="MA21" i="1" s="1"/>
  <c r="MB21" i="1" s="1"/>
  <c r="MC21" i="1" s="1"/>
  <c r="MD21" i="1" s="1"/>
  <c r="ME21" i="1" s="1"/>
  <c r="MF21" i="1" s="1"/>
  <c r="MG21" i="1" s="1"/>
  <c r="MH21" i="1" s="1"/>
  <c r="MI21" i="1" s="1"/>
  <c r="MJ21" i="1" s="1"/>
  <c r="MK21" i="1" s="1"/>
  <c r="ML21" i="1" s="1"/>
  <c r="MM21" i="1" s="1"/>
  <c r="MN21" i="1" s="1"/>
  <c r="MO21" i="1" s="1"/>
  <c r="MP21" i="1" s="1"/>
  <c r="MQ21" i="1" s="1"/>
  <c r="MR21" i="1" s="1"/>
  <c r="MS21" i="1" s="1"/>
  <c r="MT21" i="1" s="1"/>
  <c r="MU21" i="1" s="1"/>
  <c r="MV21" i="1" s="1"/>
  <c r="MW21" i="1" s="1"/>
  <c r="MX21" i="1" s="1"/>
  <c r="MY21" i="1" s="1"/>
  <c r="MZ21" i="1" s="1"/>
  <c r="NA21" i="1" s="1"/>
  <c r="NB21" i="1" s="1"/>
  <c r="NC21" i="1" s="1"/>
  <c r="ND21" i="1" s="1"/>
  <c r="NE21" i="1" s="1"/>
  <c r="NF21" i="1" s="1"/>
  <c r="NG21" i="1" s="1"/>
  <c r="NH21" i="1" s="1"/>
  <c r="NI21" i="1" s="1"/>
  <c r="NJ21" i="1" s="1"/>
  <c r="NK21" i="1" s="1"/>
  <c r="NL21" i="1" s="1"/>
  <c r="NM21" i="1" s="1"/>
  <c r="NN21" i="1" s="1"/>
  <c r="NO21" i="1" s="1"/>
  <c r="NP21" i="1" s="1"/>
  <c r="NQ21" i="1" s="1"/>
  <c r="L18" i="1" l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FD18" i="1" s="1"/>
  <c r="FE18" i="1" s="1"/>
  <c r="FF18" i="1" s="1"/>
  <c r="FG18" i="1" s="1"/>
  <c r="FH18" i="1" s="1"/>
  <c r="FI18" i="1" s="1"/>
  <c r="FJ18" i="1" s="1"/>
  <c r="FK18" i="1" s="1"/>
  <c r="FL18" i="1" s="1"/>
  <c r="FM18" i="1" s="1"/>
  <c r="FN18" i="1" s="1"/>
  <c r="FO18" i="1" s="1"/>
  <c r="FP18" i="1" s="1"/>
  <c r="FQ18" i="1" s="1"/>
  <c r="FR18" i="1" s="1"/>
  <c r="FS18" i="1" s="1"/>
  <c r="FT18" i="1" s="1"/>
  <c r="FU18" i="1" s="1"/>
  <c r="FV18" i="1" s="1"/>
  <c r="FW18" i="1" s="1"/>
  <c r="FX18" i="1" s="1"/>
  <c r="FY18" i="1" s="1"/>
  <c r="FZ18" i="1" s="1"/>
  <c r="GA18" i="1" s="1"/>
  <c r="GB18" i="1" s="1"/>
  <c r="GC18" i="1" s="1"/>
  <c r="GD18" i="1" s="1"/>
  <c r="GE18" i="1" s="1"/>
  <c r="GF18" i="1" s="1"/>
  <c r="GG18" i="1" s="1"/>
  <c r="GH18" i="1" s="1"/>
  <c r="GI18" i="1" s="1"/>
  <c r="GJ18" i="1" s="1"/>
  <c r="GK18" i="1" s="1"/>
  <c r="GL18" i="1" s="1"/>
  <c r="GM18" i="1" s="1"/>
  <c r="GN18" i="1" s="1"/>
  <c r="GO18" i="1" s="1"/>
  <c r="GP18" i="1" s="1"/>
  <c r="GQ18" i="1" s="1"/>
  <c r="GR18" i="1" s="1"/>
  <c r="GS18" i="1" s="1"/>
  <c r="GT18" i="1" s="1"/>
  <c r="GU18" i="1" s="1"/>
  <c r="GV18" i="1" s="1"/>
  <c r="GW18" i="1" s="1"/>
  <c r="GX18" i="1" s="1"/>
  <c r="GY18" i="1" s="1"/>
  <c r="GZ18" i="1" s="1"/>
  <c r="HA18" i="1" s="1"/>
  <c r="HB18" i="1" s="1"/>
  <c r="HC18" i="1" s="1"/>
  <c r="HD18" i="1" s="1"/>
  <c r="HE18" i="1" s="1"/>
  <c r="HF18" i="1" s="1"/>
  <c r="HG18" i="1" s="1"/>
  <c r="HH18" i="1" s="1"/>
  <c r="HI18" i="1" s="1"/>
  <c r="HJ18" i="1" s="1"/>
  <c r="HK18" i="1" s="1"/>
  <c r="HL18" i="1" s="1"/>
  <c r="HM18" i="1" s="1"/>
  <c r="HN18" i="1" s="1"/>
  <c r="HO18" i="1" s="1"/>
  <c r="HP18" i="1" s="1"/>
  <c r="HQ18" i="1" s="1"/>
  <c r="HR18" i="1" s="1"/>
  <c r="HS18" i="1" s="1"/>
  <c r="HT18" i="1" s="1"/>
  <c r="HU18" i="1" s="1"/>
  <c r="HV18" i="1" s="1"/>
  <c r="HW18" i="1" s="1"/>
  <c r="HX18" i="1" s="1"/>
  <c r="HY18" i="1" s="1"/>
  <c r="HZ18" i="1" s="1"/>
  <c r="IA18" i="1" s="1"/>
  <c r="IB18" i="1" s="1"/>
  <c r="IC18" i="1" s="1"/>
  <c r="ID18" i="1" s="1"/>
  <c r="IE18" i="1" s="1"/>
  <c r="IF18" i="1" s="1"/>
  <c r="IG18" i="1" s="1"/>
  <c r="IH18" i="1" s="1"/>
  <c r="II18" i="1" s="1"/>
  <c r="IJ18" i="1" s="1"/>
  <c r="IK18" i="1" s="1"/>
  <c r="IL18" i="1" s="1"/>
  <c r="IM18" i="1" s="1"/>
  <c r="IN18" i="1" s="1"/>
  <c r="IO18" i="1" s="1"/>
  <c r="IP18" i="1" s="1"/>
  <c r="IQ18" i="1" s="1"/>
  <c r="IR18" i="1" s="1"/>
  <c r="IS18" i="1" s="1"/>
  <c r="IT18" i="1" s="1"/>
  <c r="IU18" i="1" s="1"/>
  <c r="IV18" i="1" s="1"/>
  <c r="IW18" i="1" s="1"/>
  <c r="IX18" i="1" s="1"/>
  <c r="IY18" i="1" s="1"/>
  <c r="IZ18" i="1" s="1"/>
  <c r="JA18" i="1" s="1"/>
  <c r="JB18" i="1" s="1"/>
  <c r="JC18" i="1" s="1"/>
  <c r="JD18" i="1" s="1"/>
  <c r="JE18" i="1" s="1"/>
  <c r="JF18" i="1" s="1"/>
  <c r="JG18" i="1" s="1"/>
  <c r="JH18" i="1" s="1"/>
  <c r="JI18" i="1" s="1"/>
  <c r="JJ18" i="1" s="1"/>
  <c r="JK18" i="1" s="1"/>
  <c r="JL18" i="1" s="1"/>
  <c r="JM18" i="1" s="1"/>
  <c r="JN18" i="1" s="1"/>
  <c r="JO18" i="1" s="1"/>
  <c r="JP18" i="1" s="1"/>
  <c r="JQ18" i="1" s="1"/>
  <c r="JR18" i="1" s="1"/>
  <c r="JS18" i="1" s="1"/>
  <c r="JT18" i="1" s="1"/>
  <c r="JU18" i="1" s="1"/>
  <c r="JV18" i="1" s="1"/>
  <c r="JW18" i="1" s="1"/>
  <c r="JX18" i="1" s="1"/>
  <c r="JY18" i="1" s="1"/>
  <c r="JZ18" i="1" s="1"/>
  <c r="KA18" i="1" s="1"/>
  <c r="KB18" i="1" s="1"/>
  <c r="KC18" i="1" s="1"/>
  <c r="KD18" i="1" s="1"/>
  <c r="KE18" i="1" s="1"/>
  <c r="KF18" i="1" s="1"/>
  <c r="KG18" i="1" s="1"/>
  <c r="KH18" i="1" s="1"/>
  <c r="KI18" i="1" s="1"/>
  <c r="KJ18" i="1" s="1"/>
  <c r="KK18" i="1" s="1"/>
  <c r="KL18" i="1" s="1"/>
  <c r="KM18" i="1" s="1"/>
  <c r="KN18" i="1" s="1"/>
  <c r="KO18" i="1" s="1"/>
  <c r="KP18" i="1" s="1"/>
  <c r="KQ18" i="1" s="1"/>
  <c r="KR18" i="1" s="1"/>
  <c r="KS18" i="1" s="1"/>
  <c r="KT18" i="1" s="1"/>
  <c r="KU18" i="1" s="1"/>
  <c r="KV18" i="1" s="1"/>
  <c r="KW18" i="1" s="1"/>
  <c r="KX18" i="1" s="1"/>
  <c r="KY18" i="1" s="1"/>
  <c r="KZ18" i="1" s="1"/>
  <c r="LA18" i="1" s="1"/>
  <c r="LB18" i="1" s="1"/>
  <c r="LC18" i="1" s="1"/>
  <c r="LD18" i="1" s="1"/>
  <c r="LE18" i="1" s="1"/>
  <c r="LF18" i="1" s="1"/>
  <c r="LG18" i="1" s="1"/>
  <c r="LH18" i="1" s="1"/>
  <c r="LI18" i="1" s="1"/>
  <c r="LJ18" i="1" s="1"/>
  <c r="LK18" i="1" s="1"/>
  <c r="LL18" i="1" s="1"/>
  <c r="LM18" i="1" s="1"/>
  <c r="LN18" i="1" s="1"/>
  <c r="LO18" i="1" s="1"/>
  <c r="LP18" i="1" s="1"/>
  <c r="LQ18" i="1" s="1"/>
  <c r="LR18" i="1" s="1"/>
  <c r="LS18" i="1" s="1"/>
  <c r="LT18" i="1" s="1"/>
  <c r="LU18" i="1" s="1"/>
  <c r="LV18" i="1" s="1"/>
  <c r="LW18" i="1" s="1"/>
  <c r="LX18" i="1" s="1"/>
  <c r="LY18" i="1" s="1"/>
  <c r="LZ18" i="1" s="1"/>
  <c r="MA18" i="1" s="1"/>
  <c r="MB18" i="1" s="1"/>
  <c r="MC18" i="1" s="1"/>
  <c r="MD18" i="1" s="1"/>
  <c r="ME18" i="1" s="1"/>
  <c r="MF18" i="1" s="1"/>
  <c r="MG18" i="1" s="1"/>
  <c r="MH18" i="1" s="1"/>
  <c r="MI18" i="1" s="1"/>
  <c r="MJ18" i="1" s="1"/>
  <c r="MK18" i="1" s="1"/>
  <c r="ML18" i="1" s="1"/>
  <c r="MM18" i="1" s="1"/>
  <c r="MN18" i="1" s="1"/>
  <c r="MO18" i="1" s="1"/>
  <c r="MP18" i="1" s="1"/>
  <c r="MQ18" i="1" s="1"/>
  <c r="MR18" i="1" s="1"/>
  <c r="MS18" i="1" s="1"/>
  <c r="MT18" i="1" s="1"/>
  <c r="MU18" i="1" s="1"/>
  <c r="MV18" i="1" s="1"/>
  <c r="MW18" i="1" s="1"/>
  <c r="MX18" i="1" s="1"/>
  <c r="MY18" i="1" s="1"/>
  <c r="MZ18" i="1" s="1"/>
  <c r="NA18" i="1" s="1"/>
  <c r="NB18" i="1" s="1"/>
  <c r="NC18" i="1" s="1"/>
  <c r="ND18" i="1" s="1"/>
  <c r="NE18" i="1" s="1"/>
  <c r="NF18" i="1" s="1"/>
  <c r="NG18" i="1" s="1"/>
  <c r="NH18" i="1" s="1"/>
  <c r="NI18" i="1" s="1"/>
  <c r="NJ18" i="1" s="1"/>
  <c r="NK18" i="1" s="1"/>
  <c r="NL18" i="1" s="1"/>
  <c r="NM18" i="1" s="1"/>
  <c r="NN18" i="1" s="1"/>
  <c r="NO18" i="1" s="1"/>
  <c r="NP18" i="1" s="1"/>
  <c r="NQ18" i="1" s="1"/>
  <c r="K49" i="1"/>
  <c r="J51" i="1"/>
  <c r="N34" i="1"/>
</calcChain>
</file>

<file path=xl/sharedStrings.xml><?xml version="1.0" encoding="utf-8"?>
<sst xmlns="http://schemas.openxmlformats.org/spreadsheetml/2006/main" count="442" uniqueCount="36">
  <si>
    <t>Transaction &amp; Service</t>
  </si>
  <si>
    <t>Interest Income</t>
  </si>
  <si>
    <t>Total Revenue</t>
  </si>
  <si>
    <t>Revenue</t>
  </si>
  <si>
    <t>Operating Expenses</t>
  </si>
  <si>
    <t>Processing &amp; Service</t>
  </si>
  <si>
    <t>Credit Losses</t>
  </si>
  <si>
    <t>Funding</t>
  </si>
  <si>
    <t>R&amp;D</t>
  </si>
  <si>
    <t>Marketing</t>
  </si>
  <si>
    <t>Customer Service &amp; Operations</t>
  </si>
  <si>
    <t>G&amp;A</t>
  </si>
  <si>
    <t>D&amp;A</t>
  </si>
  <si>
    <t>Total Operating Expenses</t>
  </si>
  <si>
    <t>Operating Income</t>
  </si>
  <si>
    <t>Other Income</t>
  </si>
  <si>
    <t>Tax</t>
  </si>
  <si>
    <t>Net Income</t>
  </si>
  <si>
    <t>FY</t>
  </si>
  <si>
    <t>Margin</t>
  </si>
  <si>
    <t>Operating Margin</t>
  </si>
  <si>
    <t>Net Margin</t>
  </si>
  <si>
    <t>Growth</t>
  </si>
  <si>
    <t>Terminal Rate</t>
  </si>
  <si>
    <t>Disc Rate</t>
  </si>
  <si>
    <t>NPV</t>
  </si>
  <si>
    <t>Implied Price</t>
  </si>
  <si>
    <t>Shares</t>
  </si>
  <si>
    <t>Market Capitalization</t>
  </si>
  <si>
    <t>Cash</t>
  </si>
  <si>
    <t>Debt</t>
  </si>
  <si>
    <t>Enterprise Value</t>
  </si>
  <si>
    <t>KLARNA</t>
  </si>
  <si>
    <t>Share Price</t>
  </si>
  <si>
    <t>Actual Price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</si>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</sst>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#,##0;[Red]#,##0"/>
    <numFmt numFmtId="169" formatCode="0.0%"/>
  </numFmts>
  <fonts count="3" x14ac:knownFonts="1"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68" fontId="2" fillId="0" borderId="0" xfId="0" applyNumberFormat="1" applyFont="1"/>
    <xf numFmtId="10" fontId="0" fillId="0" borderId="0" xfId="0" applyNumberFormat="1"/>
    <xf numFmtId="169" fontId="0" fillId="0" borderId="0" xfId="0" applyNumberFormat="1"/>
    <xf numFmtId="0" fontId="2" fillId="0" borderId="8" xfId="0" applyFont="1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1" fillId="0" borderId="2" xfId="0" applyFont="1" applyBorder="1"/>
    <xf numFmtId="3" fontId="1" fillId="0" borderId="3" xfId="0" applyNumberFormat="1" applyFont="1" applyBorder="1"/>
    <xf numFmtId="0" fontId="1" fillId="0" borderId="4" xfId="0" applyFont="1" applyBorder="1"/>
    <xf numFmtId="44" fontId="1" fillId="0" borderId="5" xfId="0" applyNumberFormat="1" applyFont="1" applyBorder="1"/>
    <xf numFmtId="167" fontId="1" fillId="0" borderId="5" xfId="0" applyNumberFormat="1" applyFont="1" applyBorder="1"/>
    <xf numFmtId="0" fontId="1" fillId="0" borderId="6" xfId="0" applyFont="1" applyBorder="1"/>
    <xf numFmtId="167" fontId="1" fillId="0" borderId="7" xfId="0" applyNumberFormat="1" applyFont="1" applyBorder="1"/>
    <xf numFmtId="14" fontId="0" fillId="0" borderId="10" xfId="0" applyNumberFormat="1" applyBorder="1"/>
    <xf numFmtId="14" fontId="0" fillId="0" borderId="11" xfId="0" applyNumberFormat="1" applyBorder="1"/>
    <xf numFmtId="0" fontId="0" fillId="0" borderId="11" xfId="0" applyBorder="1"/>
    <xf numFmtId="14" fontId="0" fillId="0" borderId="12" xfId="0" applyNumberFormat="1" applyBorder="1"/>
    <xf numFmtId="0" fontId="0" fillId="0" borderId="2" xfId="0" applyBorder="1"/>
    <xf numFmtId="169" fontId="0" fillId="0" borderId="3" xfId="0" applyNumberFormat="1" applyBorder="1"/>
    <xf numFmtId="169" fontId="0" fillId="0" borderId="5" xfId="0" applyNumberFormat="1" applyBorder="1"/>
    <xf numFmtId="169" fontId="1" fillId="0" borderId="3" xfId="0" applyNumberFormat="1" applyFont="1" applyBorder="1"/>
    <xf numFmtId="169" fontId="1" fillId="0" borderId="5" xfId="0" applyNumberFormat="1" applyFont="1" applyBorder="1"/>
    <xf numFmtId="3" fontId="1" fillId="0" borderId="5" xfId="0" applyNumberFormat="1" applyFont="1" applyBorder="1"/>
    <xf numFmtId="0" fontId="1" fillId="0" borderId="6" xfId="0" applyFont="1" applyFill="1" applyBorder="1"/>
    <xf numFmtId="44" fontId="0" fillId="0" borderId="7" xfId="0" applyNumberFormat="1" applyFont="1" applyBorder="1"/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68" fontId="2" fillId="0" borderId="13" xfId="0" applyNumberFormat="1" applyFont="1" applyBorder="1"/>
    <xf numFmtId="168" fontId="2" fillId="0" borderId="9" xfId="0" applyNumberFormat="1" applyFont="1" applyBorder="1"/>
    <xf numFmtId="0" fontId="1" fillId="0" borderId="10" xfId="0" applyFont="1" applyBorder="1"/>
    <xf numFmtId="0" fontId="2" fillId="0" borderId="1" xfId="0" applyFont="1" applyBorder="1"/>
    <xf numFmtId="0" fontId="0" fillId="0" borderId="14" xfId="0" applyBorder="1"/>
    <xf numFmtId="0" fontId="0" fillId="0" borderId="3" xfId="0" applyBorder="1"/>
    <xf numFmtId="168" fontId="0" fillId="0" borderId="4" xfId="0" applyNumberFormat="1" applyBorder="1"/>
    <xf numFmtId="168" fontId="0" fillId="0" borderId="0" xfId="0" applyNumberFormat="1" applyBorder="1"/>
    <xf numFmtId="168" fontId="0" fillId="0" borderId="5" xfId="0" applyNumberFormat="1" applyBorder="1"/>
    <xf numFmtId="168" fontId="2" fillId="0" borderId="8" xfId="0" applyNumberFormat="1" applyFont="1" applyBorder="1"/>
    <xf numFmtId="10" fontId="0" fillId="0" borderId="2" xfId="0" applyNumberFormat="1" applyBorder="1"/>
    <xf numFmtId="10" fontId="0" fillId="0" borderId="14" xfId="0" applyNumberFormat="1" applyBorder="1"/>
    <xf numFmtId="168" fontId="0" fillId="0" borderId="14" xfId="0" applyNumberFormat="1" applyBorder="1"/>
    <xf numFmtId="168" fontId="0" fillId="0" borderId="3" xfId="0" applyNumberFormat="1" applyBorder="1"/>
    <xf numFmtId="0" fontId="0" fillId="0" borderId="12" xfId="0" applyFont="1" applyBorder="1"/>
    <xf numFmtId="168" fontId="0" fillId="0" borderId="6" xfId="0" applyNumberFormat="1" applyFont="1" applyBorder="1"/>
    <xf numFmtId="168" fontId="0" fillId="0" borderId="15" xfId="0" applyNumberFormat="1" applyFont="1" applyBorder="1"/>
    <xf numFmtId="168" fontId="0" fillId="0" borderId="7" xfId="0" applyNumberFormat="1" applyFont="1" applyBorder="1"/>
    <xf numFmtId="0" fontId="0" fillId="0" borderId="12" xfId="0" applyBorder="1"/>
    <xf numFmtId="168" fontId="0" fillId="0" borderId="6" xfId="0" applyNumberFormat="1" applyBorder="1"/>
    <xf numFmtId="168" fontId="0" fillId="0" borderId="15" xfId="0" applyNumberFormat="1" applyBorder="1"/>
    <xf numFmtId="168" fontId="0" fillId="0" borderId="7" xfId="0" applyNumberFormat="1" applyBorder="1"/>
    <xf numFmtId="169" fontId="0" fillId="0" borderId="0" xfId="0" applyNumberFormat="1" applyBorder="1"/>
    <xf numFmtId="169" fontId="0" fillId="0" borderId="15" xfId="0" applyNumberFormat="1" applyBorder="1"/>
    <xf numFmtId="169" fontId="0" fillId="0" borderId="7" xfId="0" applyNumberFormat="1" applyBorder="1"/>
    <xf numFmtId="169" fontId="0" fillId="0" borderId="14" xfId="0" applyNumberFormat="1" applyBorder="1"/>
    <xf numFmtId="169" fontId="0" fillId="0" borderId="15" xfId="0" applyNumberFormat="1" applyFont="1" applyBorder="1"/>
    <xf numFmtId="169" fontId="0" fillId="0" borderId="7" xfId="0" applyNumberFormat="1" applyFont="1" applyBorder="1"/>
    <xf numFmtId="169" fontId="2" fillId="0" borderId="13" xfId="0" applyNumberFormat="1" applyFont="1" applyBorder="1"/>
    <xf numFmtId="169" fontId="2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98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364B0EC-AFF1-3F18-3128-DE19934A797F}"/>
            </a:ext>
          </a:extLst>
        </xdr:cNvPr>
        <xdr:cNvCxnSpPr/>
      </xdr:nvCxnSpPr>
      <xdr:spPr>
        <a:xfrm>
          <a:off x="5384800" y="0"/>
          <a:ext cx="0" cy="171907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0</xdr:colOff>
      <xdr:row>98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8596AD2-2E3A-4A00-9933-29785FC7B931}"/>
            </a:ext>
          </a:extLst>
        </xdr:cNvPr>
        <xdr:cNvCxnSpPr/>
      </xdr:nvCxnSpPr>
      <xdr:spPr>
        <a:xfrm>
          <a:off x="10170160" y="0"/>
          <a:ext cx="0" cy="171907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C81B-9AA4-416A-B277-5B198A5D63A7}">
  <dimension ref="B2:E8"/>
  <sheetViews>
    <sheetView showGridLines="0" workbookViewId="0"/>
  </sheetViews>
  <sheetFormatPr defaultColWidth="2.578125" defaultRowHeight="14.4" x14ac:dyDescent="0.55000000000000004"/>
  <cols>
    <col min="2" max="2" width="18.5234375" bestFit="1" customWidth="1"/>
    <col min="3" max="3" width="16.05078125" bestFit="1" customWidth="1"/>
    <col min="5" max="5" width="9.15625" bestFit="1" customWidth="1"/>
  </cols>
  <sheetData>
    <row r="2" spans="2:5" x14ac:dyDescent="0.55000000000000004">
      <c r="B2" s="4" t="s">
        <v>32</v>
      </c>
      <c r="C2" s="5"/>
    </row>
    <row r="3" spans="2:5" x14ac:dyDescent="0.55000000000000004">
      <c r="B3" s="6" t="s">
        <v>27</v>
      </c>
      <c r="C3" s="7">
        <v>372255045</v>
      </c>
      <c r="E3" s="13">
        <v>45910</v>
      </c>
    </row>
    <row r="4" spans="2:5" x14ac:dyDescent="0.55000000000000004">
      <c r="B4" s="8" t="s">
        <v>33</v>
      </c>
      <c r="C4" s="9">
        <v>48.82</v>
      </c>
      <c r="E4" s="14">
        <v>45910</v>
      </c>
    </row>
    <row r="5" spans="2:5" x14ac:dyDescent="0.55000000000000004">
      <c r="B5" s="8" t="s">
        <v>28</v>
      </c>
      <c r="C5" s="10">
        <f>C3*C4</f>
        <v>18173491296.900002</v>
      </c>
      <c r="E5" s="14">
        <v>45910</v>
      </c>
    </row>
    <row r="6" spans="2:5" x14ac:dyDescent="0.55000000000000004">
      <c r="B6" s="8" t="s">
        <v>29</v>
      </c>
      <c r="C6" s="10">
        <f>(5+8)*1000000</f>
        <v>13000000</v>
      </c>
      <c r="E6" s="15"/>
    </row>
    <row r="7" spans="2:5" x14ac:dyDescent="0.55000000000000004">
      <c r="B7" s="8" t="s">
        <v>30</v>
      </c>
      <c r="C7" s="10">
        <f>(15)*1000000</f>
        <v>15000000</v>
      </c>
      <c r="E7" s="15"/>
    </row>
    <row r="8" spans="2:5" x14ac:dyDescent="0.55000000000000004">
      <c r="B8" s="11" t="s">
        <v>31</v>
      </c>
      <c r="C8" s="12">
        <f>C5-C6+C7</f>
        <v>18175491296.900002</v>
      </c>
      <c r="E8" s="16">
        <v>45910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F253-DDCE-4059-86C8-5B3E67570A78}">
  <dimension ref="B2:NQ52"/>
  <sheetViews>
    <sheetView showGridLines="0" tabSelected="1" zoomScale="75" zoomScaleNormal="75" workbookViewId="0">
      <selection activeCell="F9" sqref="F9"/>
    </sheetView>
  </sheetViews>
  <sheetFormatPr defaultColWidth="2.578125" defaultRowHeight="14.4" x14ac:dyDescent="0.55000000000000004"/>
  <cols>
    <col min="2" max="2" width="26.1015625" bestFit="1" customWidth="1"/>
    <col min="3" max="3" width="13" bestFit="1" customWidth="1"/>
    <col min="4" max="5" width="12.1015625" bestFit="1" customWidth="1"/>
    <col min="6" max="13" width="13" bestFit="1" customWidth="1"/>
    <col min="14" max="14" width="16.05078125" bestFit="1" customWidth="1"/>
    <col min="15" max="114" width="13" bestFit="1" customWidth="1"/>
    <col min="115" max="345" width="14.05078125" bestFit="1" customWidth="1"/>
    <col min="346" max="381" width="15.05078125" bestFit="1" customWidth="1"/>
  </cols>
  <sheetData>
    <row r="2" spans="2:381" x14ac:dyDescent="0.55000000000000004">
      <c r="C2" s="25" t="s">
        <v>18</v>
      </c>
      <c r="D2" s="25" t="s">
        <v>18</v>
      </c>
      <c r="E2" s="25" t="s">
        <v>18</v>
      </c>
      <c r="F2" s="25" t="s">
        <v>18</v>
      </c>
      <c r="G2" s="25" t="s">
        <v>18</v>
      </c>
      <c r="H2" s="25" t="s">
        <v>18</v>
      </c>
      <c r="I2" s="25" t="s">
        <v>18</v>
      </c>
      <c r="J2" s="25" t="s">
        <v>18</v>
      </c>
      <c r="K2" s="25" t="s">
        <v>18</v>
      </c>
      <c r="L2" s="25" t="s">
        <v>18</v>
      </c>
      <c r="M2" s="25" t="s">
        <v>18</v>
      </c>
      <c r="N2" s="25" t="s">
        <v>18</v>
      </c>
      <c r="O2" s="25" t="s">
        <v>18</v>
      </c>
      <c r="P2" s="25" t="s">
        <v>18</v>
      </c>
      <c r="Q2" s="25" t="s">
        <v>18</v>
      </c>
      <c r="R2" s="25" t="s">
        <v>18</v>
      </c>
      <c r="S2" s="25" t="s">
        <v>18</v>
      </c>
      <c r="T2" s="25" t="s">
        <v>18</v>
      </c>
      <c r="U2" s="25" t="s">
        <v>18</v>
      </c>
      <c r="V2" s="25" t="s">
        <v>18</v>
      </c>
      <c r="W2" s="25" t="s">
        <v>18</v>
      </c>
      <c r="X2" s="25" t="s">
        <v>18</v>
      </c>
      <c r="Y2" s="25" t="s">
        <v>18</v>
      </c>
      <c r="Z2" s="25" t="s">
        <v>18</v>
      </c>
      <c r="AA2" s="25" t="s">
        <v>18</v>
      </c>
      <c r="AB2" s="25" t="s">
        <v>18</v>
      </c>
      <c r="AC2" s="25" t="s">
        <v>18</v>
      </c>
      <c r="AD2" s="25" t="s">
        <v>18</v>
      </c>
      <c r="AE2" s="25" t="s">
        <v>18</v>
      </c>
      <c r="AF2" s="25" t="s">
        <v>18</v>
      </c>
      <c r="AG2" s="25" t="s">
        <v>18</v>
      </c>
      <c r="AH2" s="25" t="s">
        <v>18</v>
      </c>
      <c r="AI2" s="25" t="s">
        <v>18</v>
      </c>
      <c r="AJ2" s="25" t="s">
        <v>18</v>
      </c>
      <c r="AK2" s="25" t="s">
        <v>18</v>
      </c>
      <c r="AL2" s="25" t="s">
        <v>18</v>
      </c>
      <c r="AM2" s="25" t="s">
        <v>18</v>
      </c>
      <c r="AN2" s="25" t="s">
        <v>18</v>
      </c>
      <c r="AO2" s="25" t="s">
        <v>18</v>
      </c>
      <c r="AP2" s="25" t="s">
        <v>18</v>
      </c>
      <c r="AQ2" s="25" t="s">
        <v>18</v>
      </c>
      <c r="AR2" s="25" t="s">
        <v>18</v>
      </c>
      <c r="AS2" s="25" t="s">
        <v>18</v>
      </c>
      <c r="AT2" s="25" t="s">
        <v>18</v>
      </c>
      <c r="AU2" s="25" t="s">
        <v>18</v>
      </c>
      <c r="AV2" s="25" t="s">
        <v>18</v>
      </c>
      <c r="AW2" s="25" t="s">
        <v>18</v>
      </c>
      <c r="AX2" s="25" t="s">
        <v>18</v>
      </c>
      <c r="AY2" s="25" t="s">
        <v>18</v>
      </c>
      <c r="AZ2" s="25" t="s">
        <v>18</v>
      </c>
      <c r="BA2" s="25" t="s">
        <v>18</v>
      </c>
      <c r="BB2" s="25" t="s">
        <v>18</v>
      </c>
      <c r="BC2" s="25" t="s">
        <v>18</v>
      </c>
      <c r="BD2" s="25" t="s">
        <v>18</v>
      </c>
      <c r="BE2" s="25" t="s">
        <v>18</v>
      </c>
      <c r="BF2" s="25" t="s">
        <v>18</v>
      </c>
      <c r="BG2" s="25" t="s">
        <v>18</v>
      </c>
      <c r="BH2" s="25" t="s">
        <v>18</v>
      </c>
      <c r="BI2" s="25" t="s">
        <v>18</v>
      </c>
      <c r="BJ2" s="25" t="s">
        <v>18</v>
      </c>
      <c r="BK2" s="25" t="s">
        <v>18</v>
      </c>
      <c r="BL2" s="25" t="s">
        <v>18</v>
      </c>
      <c r="BM2" s="25" t="s">
        <v>18</v>
      </c>
      <c r="BN2" s="25" t="s">
        <v>18</v>
      </c>
      <c r="BO2" s="25" t="s">
        <v>18</v>
      </c>
      <c r="BP2" s="25" t="s">
        <v>18</v>
      </c>
      <c r="BQ2" s="25" t="s">
        <v>18</v>
      </c>
      <c r="BR2" s="25" t="s">
        <v>18</v>
      </c>
      <c r="BS2" s="25" t="s">
        <v>18</v>
      </c>
      <c r="BT2" s="25" t="s">
        <v>18</v>
      </c>
      <c r="BU2" s="25" t="s">
        <v>18</v>
      </c>
      <c r="BV2" s="25" t="s">
        <v>18</v>
      </c>
      <c r="BW2" s="25" t="s">
        <v>18</v>
      </c>
      <c r="BX2" s="25" t="s">
        <v>18</v>
      </c>
      <c r="BY2" s="25" t="s">
        <v>18</v>
      </c>
      <c r="BZ2" s="25" t="s">
        <v>18</v>
      </c>
      <c r="CA2" s="25" t="s">
        <v>18</v>
      </c>
      <c r="CB2" s="25" t="s">
        <v>18</v>
      </c>
      <c r="CC2" s="25" t="s">
        <v>18</v>
      </c>
      <c r="CD2" s="25" t="s">
        <v>18</v>
      </c>
      <c r="CE2" s="25" t="s">
        <v>18</v>
      </c>
      <c r="CF2" s="25" t="s">
        <v>18</v>
      </c>
      <c r="CG2" s="25" t="s">
        <v>18</v>
      </c>
      <c r="CH2" s="25" t="s">
        <v>18</v>
      </c>
      <c r="CI2" s="25" t="s">
        <v>18</v>
      </c>
      <c r="CJ2" s="25" t="s">
        <v>18</v>
      </c>
      <c r="CK2" s="25" t="s">
        <v>18</v>
      </c>
      <c r="CL2" s="25" t="s">
        <v>18</v>
      </c>
      <c r="CM2" s="25" t="s">
        <v>18</v>
      </c>
      <c r="CN2" s="25" t="s">
        <v>18</v>
      </c>
      <c r="CO2" s="25" t="s">
        <v>18</v>
      </c>
      <c r="CP2" s="25" t="s">
        <v>18</v>
      </c>
      <c r="CQ2" s="25" t="s">
        <v>18</v>
      </c>
      <c r="CR2" s="25" t="s">
        <v>18</v>
      </c>
      <c r="CS2" s="25" t="s">
        <v>18</v>
      </c>
      <c r="CT2" s="25" t="s">
        <v>18</v>
      </c>
      <c r="CU2" s="25" t="s">
        <v>18</v>
      </c>
      <c r="CV2" s="25" t="s">
        <v>18</v>
      </c>
      <c r="CW2" s="25" t="s">
        <v>18</v>
      </c>
      <c r="CX2" s="25" t="s">
        <v>18</v>
      </c>
      <c r="CY2" s="25" t="s">
        <v>18</v>
      </c>
      <c r="CZ2" s="25" t="s">
        <v>18</v>
      </c>
      <c r="DA2" s="25" t="s">
        <v>18</v>
      </c>
      <c r="DB2" s="25" t="s">
        <v>18</v>
      </c>
      <c r="DC2" s="25" t="s">
        <v>18</v>
      </c>
      <c r="DD2" s="25" t="s">
        <v>18</v>
      </c>
      <c r="DE2" s="25" t="s">
        <v>18</v>
      </c>
      <c r="DF2" s="25" t="s">
        <v>18</v>
      </c>
      <c r="DG2" s="25" t="s">
        <v>18</v>
      </c>
      <c r="DH2" s="25" t="s">
        <v>18</v>
      </c>
      <c r="DI2" s="25" t="s">
        <v>18</v>
      </c>
      <c r="DJ2" s="25" t="s">
        <v>18</v>
      </c>
      <c r="DK2" s="25" t="s">
        <v>18</v>
      </c>
      <c r="DL2" s="25" t="s">
        <v>18</v>
      </c>
      <c r="DM2" s="25" t="s">
        <v>18</v>
      </c>
      <c r="DN2" s="25" t="s">
        <v>18</v>
      </c>
      <c r="DO2" s="25" t="s">
        <v>18</v>
      </c>
      <c r="DP2" s="25" t="s">
        <v>18</v>
      </c>
      <c r="DQ2" s="25" t="s">
        <v>18</v>
      </c>
      <c r="DR2" s="25" t="s">
        <v>18</v>
      </c>
      <c r="DS2" s="25" t="s">
        <v>18</v>
      </c>
      <c r="DT2" s="25" t="s">
        <v>18</v>
      </c>
      <c r="DU2" s="25" t="s">
        <v>18</v>
      </c>
      <c r="DV2" s="25" t="s">
        <v>18</v>
      </c>
      <c r="DW2" s="25" t="s">
        <v>18</v>
      </c>
      <c r="DX2" s="25" t="s">
        <v>18</v>
      </c>
      <c r="DY2" s="25" t="s">
        <v>18</v>
      </c>
      <c r="DZ2" s="25" t="s">
        <v>18</v>
      </c>
      <c r="EA2" s="25" t="s">
        <v>18</v>
      </c>
      <c r="EB2" s="25" t="s">
        <v>18</v>
      </c>
      <c r="EC2" s="25" t="s">
        <v>18</v>
      </c>
      <c r="ED2" s="25" t="s">
        <v>18</v>
      </c>
      <c r="EE2" s="25" t="s">
        <v>18</v>
      </c>
      <c r="EF2" s="25" t="s">
        <v>18</v>
      </c>
      <c r="EG2" s="25" t="s">
        <v>18</v>
      </c>
      <c r="EH2" s="25" t="s">
        <v>18</v>
      </c>
      <c r="EI2" s="25" t="s">
        <v>18</v>
      </c>
      <c r="EJ2" s="25" t="s">
        <v>18</v>
      </c>
      <c r="EK2" s="25" t="s">
        <v>18</v>
      </c>
      <c r="EL2" s="25" t="s">
        <v>18</v>
      </c>
      <c r="EM2" s="25" t="s">
        <v>18</v>
      </c>
      <c r="EN2" s="25" t="s">
        <v>18</v>
      </c>
      <c r="EO2" s="25" t="s">
        <v>18</v>
      </c>
      <c r="EP2" s="25" t="s">
        <v>18</v>
      </c>
      <c r="EQ2" s="25" t="s">
        <v>18</v>
      </c>
      <c r="ER2" s="25" t="s">
        <v>18</v>
      </c>
      <c r="ES2" s="25" t="s">
        <v>18</v>
      </c>
      <c r="ET2" s="25" t="s">
        <v>18</v>
      </c>
      <c r="EU2" s="25" t="s">
        <v>18</v>
      </c>
      <c r="EV2" s="25" t="s">
        <v>18</v>
      </c>
      <c r="EW2" s="25" t="s">
        <v>18</v>
      </c>
      <c r="EX2" s="25" t="s">
        <v>18</v>
      </c>
      <c r="EY2" s="25" t="s">
        <v>18</v>
      </c>
      <c r="EZ2" s="25" t="s">
        <v>18</v>
      </c>
      <c r="FA2" s="25" t="s">
        <v>18</v>
      </c>
      <c r="FB2" s="25" t="s">
        <v>18</v>
      </c>
      <c r="FC2" s="25" t="s">
        <v>18</v>
      </c>
      <c r="FD2" s="25" t="s">
        <v>18</v>
      </c>
      <c r="FE2" s="25" t="s">
        <v>18</v>
      </c>
      <c r="FF2" s="25" t="s">
        <v>18</v>
      </c>
      <c r="FG2" s="25" t="s">
        <v>18</v>
      </c>
      <c r="FH2" s="25" t="s">
        <v>18</v>
      </c>
      <c r="FI2" s="25" t="s">
        <v>18</v>
      </c>
      <c r="FJ2" s="25" t="s">
        <v>18</v>
      </c>
      <c r="FK2" s="25" t="s">
        <v>18</v>
      </c>
      <c r="FL2" s="25" t="s">
        <v>18</v>
      </c>
      <c r="FM2" s="25" t="s">
        <v>18</v>
      </c>
      <c r="FN2" s="25" t="s">
        <v>18</v>
      </c>
      <c r="FO2" s="25" t="s">
        <v>18</v>
      </c>
      <c r="FP2" s="25" t="s">
        <v>18</v>
      </c>
      <c r="FQ2" s="25" t="s">
        <v>18</v>
      </c>
      <c r="FR2" s="25" t="s">
        <v>18</v>
      </c>
      <c r="FS2" s="25" t="s">
        <v>18</v>
      </c>
      <c r="FT2" s="25" t="s">
        <v>18</v>
      </c>
      <c r="FU2" s="25" t="s">
        <v>18</v>
      </c>
      <c r="FV2" s="25" t="s">
        <v>18</v>
      </c>
      <c r="FW2" s="25" t="s">
        <v>18</v>
      </c>
      <c r="FX2" s="25" t="s">
        <v>18</v>
      </c>
      <c r="FY2" s="25" t="s">
        <v>18</v>
      </c>
      <c r="FZ2" s="25" t="s">
        <v>18</v>
      </c>
      <c r="GA2" s="25" t="s">
        <v>18</v>
      </c>
      <c r="GB2" s="25" t="s">
        <v>18</v>
      </c>
      <c r="GC2" s="25" t="s">
        <v>18</v>
      </c>
      <c r="GD2" s="25" t="s">
        <v>18</v>
      </c>
      <c r="GE2" s="25" t="s">
        <v>18</v>
      </c>
      <c r="GF2" s="25" t="s">
        <v>18</v>
      </c>
      <c r="GG2" s="25" t="s">
        <v>18</v>
      </c>
      <c r="GH2" s="25" t="s">
        <v>18</v>
      </c>
      <c r="GI2" s="25" t="s">
        <v>18</v>
      </c>
      <c r="GJ2" s="25" t="s">
        <v>18</v>
      </c>
      <c r="GK2" s="25" t="s">
        <v>18</v>
      </c>
      <c r="GL2" s="25" t="s">
        <v>18</v>
      </c>
      <c r="GM2" s="25" t="s">
        <v>18</v>
      </c>
      <c r="GN2" s="25" t="s">
        <v>18</v>
      </c>
      <c r="GO2" s="25" t="s">
        <v>18</v>
      </c>
      <c r="GP2" s="25" t="s">
        <v>18</v>
      </c>
      <c r="GQ2" s="25" t="s">
        <v>18</v>
      </c>
      <c r="GR2" s="25" t="s">
        <v>18</v>
      </c>
      <c r="GS2" s="25" t="s">
        <v>18</v>
      </c>
      <c r="GT2" s="25" t="s">
        <v>18</v>
      </c>
      <c r="GU2" s="25" t="s">
        <v>18</v>
      </c>
      <c r="GV2" s="25" t="s">
        <v>18</v>
      </c>
      <c r="GW2" s="25" t="s">
        <v>18</v>
      </c>
      <c r="GX2" s="25" t="s">
        <v>18</v>
      </c>
      <c r="GY2" s="25" t="s">
        <v>18</v>
      </c>
      <c r="GZ2" s="25" t="s">
        <v>18</v>
      </c>
      <c r="HA2" s="25" t="s">
        <v>18</v>
      </c>
      <c r="HB2" s="25" t="s">
        <v>18</v>
      </c>
      <c r="HC2" s="25" t="s">
        <v>18</v>
      </c>
      <c r="HD2" s="25" t="s">
        <v>18</v>
      </c>
      <c r="HE2" s="25" t="s">
        <v>18</v>
      </c>
      <c r="HF2" s="25" t="s">
        <v>18</v>
      </c>
      <c r="HG2" s="25" t="s">
        <v>18</v>
      </c>
      <c r="HH2" s="25" t="s">
        <v>18</v>
      </c>
      <c r="HI2" s="25" t="s">
        <v>18</v>
      </c>
      <c r="HJ2" s="25" t="s">
        <v>18</v>
      </c>
      <c r="HK2" s="25" t="s">
        <v>18</v>
      </c>
      <c r="HL2" s="25" t="s">
        <v>18</v>
      </c>
      <c r="HM2" s="25" t="s">
        <v>18</v>
      </c>
      <c r="HN2" s="25" t="s">
        <v>18</v>
      </c>
      <c r="HO2" s="25" t="s">
        <v>18</v>
      </c>
      <c r="HP2" s="25" t="s">
        <v>18</v>
      </c>
      <c r="HQ2" s="25" t="s">
        <v>18</v>
      </c>
      <c r="HR2" s="25" t="s">
        <v>18</v>
      </c>
      <c r="HS2" s="25" t="s">
        <v>18</v>
      </c>
      <c r="HT2" s="25" t="s">
        <v>18</v>
      </c>
      <c r="HU2" s="25" t="s">
        <v>18</v>
      </c>
      <c r="HV2" s="25" t="s">
        <v>18</v>
      </c>
      <c r="HW2" s="25" t="s">
        <v>18</v>
      </c>
      <c r="HX2" s="25" t="s">
        <v>18</v>
      </c>
      <c r="HY2" s="25" t="s">
        <v>18</v>
      </c>
      <c r="HZ2" s="25" t="s">
        <v>18</v>
      </c>
      <c r="IA2" s="25" t="s">
        <v>18</v>
      </c>
      <c r="IB2" s="25" t="s">
        <v>18</v>
      </c>
      <c r="IC2" s="25" t="s">
        <v>18</v>
      </c>
      <c r="ID2" s="25" t="s">
        <v>18</v>
      </c>
      <c r="IE2" s="25" t="s">
        <v>18</v>
      </c>
      <c r="IF2" s="25" t="s">
        <v>18</v>
      </c>
      <c r="IG2" s="25" t="s">
        <v>18</v>
      </c>
      <c r="IH2" s="25" t="s">
        <v>18</v>
      </c>
      <c r="II2" s="25" t="s">
        <v>18</v>
      </c>
      <c r="IJ2" s="25" t="s">
        <v>18</v>
      </c>
      <c r="IK2" s="25" t="s">
        <v>18</v>
      </c>
      <c r="IL2" s="25" t="s">
        <v>18</v>
      </c>
      <c r="IM2" s="25" t="s">
        <v>18</v>
      </c>
      <c r="IN2" s="25" t="s">
        <v>18</v>
      </c>
      <c r="IO2" s="25" t="s">
        <v>18</v>
      </c>
      <c r="IP2" s="25" t="s">
        <v>18</v>
      </c>
      <c r="IQ2" s="25" t="s">
        <v>18</v>
      </c>
      <c r="IR2" s="25" t="s">
        <v>18</v>
      </c>
      <c r="IS2" s="25" t="s">
        <v>18</v>
      </c>
      <c r="IT2" s="25" t="s">
        <v>18</v>
      </c>
      <c r="IU2" s="25" t="s">
        <v>18</v>
      </c>
      <c r="IV2" s="25" t="s">
        <v>18</v>
      </c>
      <c r="IW2" s="25" t="s">
        <v>18</v>
      </c>
      <c r="IX2" s="25" t="s">
        <v>18</v>
      </c>
      <c r="IY2" s="25" t="s">
        <v>18</v>
      </c>
      <c r="IZ2" s="25" t="s">
        <v>18</v>
      </c>
      <c r="JA2" s="25" t="s">
        <v>18</v>
      </c>
      <c r="JB2" s="25" t="s">
        <v>18</v>
      </c>
      <c r="JC2" s="25" t="s">
        <v>18</v>
      </c>
      <c r="JD2" s="25" t="s">
        <v>18</v>
      </c>
      <c r="JE2" s="25" t="s">
        <v>18</v>
      </c>
      <c r="JF2" s="25" t="s">
        <v>18</v>
      </c>
      <c r="JG2" s="25" t="s">
        <v>18</v>
      </c>
      <c r="JH2" s="25" t="s">
        <v>18</v>
      </c>
      <c r="JI2" s="25" t="s">
        <v>18</v>
      </c>
      <c r="JJ2" s="25" t="s">
        <v>18</v>
      </c>
      <c r="JK2" s="25" t="s">
        <v>18</v>
      </c>
      <c r="JL2" s="25" t="s">
        <v>18</v>
      </c>
      <c r="JM2" s="25" t="s">
        <v>18</v>
      </c>
      <c r="JN2" s="25" t="s">
        <v>18</v>
      </c>
      <c r="JO2" s="25" t="s">
        <v>18</v>
      </c>
      <c r="JP2" s="25" t="s">
        <v>18</v>
      </c>
      <c r="JQ2" s="25" t="s">
        <v>18</v>
      </c>
      <c r="JR2" s="25" t="s">
        <v>18</v>
      </c>
      <c r="JS2" s="25" t="s">
        <v>18</v>
      </c>
      <c r="JT2" s="25" t="s">
        <v>18</v>
      </c>
      <c r="JU2" s="25" t="s">
        <v>18</v>
      </c>
      <c r="JV2" s="25" t="s">
        <v>18</v>
      </c>
      <c r="JW2" s="25" t="s">
        <v>18</v>
      </c>
      <c r="JX2" s="25" t="s">
        <v>18</v>
      </c>
      <c r="JY2" s="25" t="s">
        <v>18</v>
      </c>
      <c r="JZ2" s="25" t="s">
        <v>18</v>
      </c>
      <c r="KA2" s="25" t="s">
        <v>18</v>
      </c>
      <c r="KB2" s="25" t="s">
        <v>18</v>
      </c>
      <c r="KC2" s="25" t="s">
        <v>18</v>
      </c>
      <c r="KD2" s="25" t="s">
        <v>18</v>
      </c>
      <c r="KE2" s="25" t="s">
        <v>18</v>
      </c>
      <c r="KF2" s="25" t="s">
        <v>18</v>
      </c>
      <c r="KG2" s="25" t="s">
        <v>18</v>
      </c>
      <c r="KH2" s="25" t="s">
        <v>18</v>
      </c>
      <c r="KI2" s="25" t="s">
        <v>18</v>
      </c>
      <c r="KJ2" s="25" t="s">
        <v>18</v>
      </c>
      <c r="KK2" s="25" t="s">
        <v>18</v>
      </c>
      <c r="KL2" s="25" t="s">
        <v>18</v>
      </c>
      <c r="KM2" s="25" t="s">
        <v>18</v>
      </c>
      <c r="KN2" s="25" t="s">
        <v>18</v>
      </c>
      <c r="KO2" s="25" t="s">
        <v>18</v>
      </c>
      <c r="KP2" s="25" t="s">
        <v>18</v>
      </c>
      <c r="KQ2" s="25" t="s">
        <v>18</v>
      </c>
      <c r="KR2" s="25" t="s">
        <v>18</v>
      </c>
      <c r="KS2" s="25" t="s">
        <v>18</v>
      </c>
      <c r="KT2" s="25" t="s">
        <v>18</v>
      </c>
      <c r="KU2" s="25" t="s">
        <v>18</v>
      </c>
      <c r="KV2" s="25" t="s">
        <v>18</v>
      </c>
      <c r="KW2" s="25" t="s">
        <v>18</v>
      </c>
      <c r="KX2" s="25" t="s">
        <v>18</v>
      </c>
      <c r="KY2" s="25" t="s">
        <v>18</v>
      </c>
      <c r="KZ2" s="25" t="s">
        <v>18</v>
      </c>
      <c r="LA2" s="25" t="s">
        <v>18</v>
      </c>
      <c r="LB2" s="25" t="s">
        <v>18</v>
      </c>
      <c r="LC2" s="25" t="s">
        <v>18</v>
      </c>
      <c r="LD2" s="25" t="s">
        <v>18</v>
      </c>
      <c r="LE2" s="25" t="s">
        <v>18</v>
      </c>
      <c r="LF2" s="25" t="s">
        <v>18</v>
      </c>
      <c r="LG2" s="25" t="s">
        <v>18</v>
      </c>
      <c r="LH2" s="25" t="s">
        <v>18</v>
      </c>
      <c r="LI2" s="25" t="s">
        <v>18</v>
      </c>
      <c r="LJ2" s="25" t="s">
        <v>18</v>
      </c>
      <c r="LK2" s="25" t="s">
        <v>18</v>
      </c>
      <c r="LL2" s="25" t="s">
        <v>18</v>
      </c>
      <c r="LM2" s="25" t="s">
        <v>18</v>
      </c>
      <c r="LN2" s="25" t="s">
        <v>18</v>
      </c>
      <c r="LO2" s="25" t="s">
        <v>18</v>
      </c>
      <c r="LP2" s="25" t="s">
        <v>18</v>
      </c>
      <c r="LQ2" s="25" t="s">
        <v>18</v>
      </c>
      <c r="LR2" s="25" t="s">
        <v>18</v>
      </c>
      <c r="LS2" s="25" t="s">
        <v>18</v>
      </c>
      <c r="LT2" s="25" t="s">
        <v>18</v>
      </c>
      <c r="LU2" s="25" t="s">
        <v>18</v>
      </c>
      <c r="LV2" s="25" t="s">
        <v>18</v>
      </c>
      <c r="LW2" s="25" t="s">
        <v>18</v>
      </c>
      <c r="LX2" s="25" t="s">
        <v>18</v>
      </c>
      <c r="LY2" s="25" t="s">
        <v>18</v>
      </c>
      <c r="LZ2" s="25" t="s">
        <v>18</v>
      </c>
      <c r="MA2" s="25" t="s">
        <v>18</v>
      </c>
      <c r="MB2" s="25" t="s">
        <v>18</v>
      </c>
      <c r="MC2" s="25" t="s">
        <v>18</v>
      </c>
      <c r="MD2" s="25" t="s">
        <v>18</v>
      </c>
      <c r="ME2" s="25" t="s">
        <v>18</v>
      </c>
      <c r="MF2" s="25" t="s">
        <v>18</v>
      </c>
      <c r="MG2" s="25" t="s">
        <v>18</v>
      </c>
      <c r="MH2" s="25" t="s">
        <v>18</v>
      </c>
      <c r="MI2" s="25" t="s">
        <v>18</v>
      </c>
      <c r="MJ2" s="25" t="s">
        <v>18</v>
      </c>
      <c r="MK2" s="25" t="s">
        <v>18</v>
      </c>
      <c r="ML2" s="25" t="s">
        <v>18</v>
      </c>
      <c r="MM2" s="25" t="s">
        <v>18</v>
      </c>
      <c r="MN2" s="25" t="s">
        <v>18</v>
      </c>
      <c r="MO2" s="25" t="s">
        <v>18</v>
      </c>
      <c r="MP2" s="25" t="s">
        <v>18</v>
      </c>
      <c r="MQ2" s="25" t="s">
        <v>18</v>
      </c>
      <c r="MR2" s="25" t="s">
        <v>18</v>
      </c>
      <c r="MS2" s="25" t="s">
        <v>18</v>
      </c>
      <c r="MT2" s="25" t="s">
        <v>18</v>
      </c>
      <c r="MU2" s="25" t="s">
        <v>18</v>
      </c>
      <c r="MV2" s="25" t="s">
        <v>18</v>
      </c>
      <c r="MW2" s="25" t="s">
        <v>18</v>
      </c>
      <c r="MX2" s="25" t="s">
        <v>18</v>
      </c>
      <c r="MY2" s="25" t="s">
        <v>18</v>
      </c>
      <c r="MZ2" s="25" t="s">
        <v>18</v>
      </c>
      <c r="NA2" s="25" t="s">
        <v>18</v>
      </c>
      <c r="NB2" s="25" t="s">
        <v>18</v>
      </c>
      <c r="NC2" s="25" t="s">
        <v>18</v>
      </c>
      <c r="ND2" s="25" t="s">
        <v>18</v>
      </c>
      <c r="NE2" s="25" t="s">
        <v>18</v>
      </c>
      <c r="NF2" s="25" t="s">
        <v>18</v>
      </c>
      <c r="NG2" s="25" t="s">
        <v>18</v>
      </c>
      <c r="NH2" s="25" t="s">
        <v>18</v>
      </c>
      <c r="NI2" s="25" t="s">
        <v>18</v>
      </c>
      <c r="NJ2" s="25" t="s">
        <v>18</v>
      </c>
      <c r="NK2" s="25" t="s">
        <v>18</v>
      </c>
      <c r="NL2" s="25" t="s">
        <v>18</v>
      </c>
      <c r="NM2" s="25" t="s">
        <v>18</v>
      </c>
      <c r="NN2" s="25" t="s">
        <v>18</v>
      </c>
      <c r="NO2" s="25" t="s">
        <v>18</v>
      </c>
      <c r="NP2" s="25" t="s">
        <v>18</v>
      </c>
      <c r="NQ2" s="25" t="s">
        <v>18</v>
      </c>
    </row>
    <row r="3" spans="2:381" x14ac:dyDescent="0.55000000000000004">
      <c r="C3" s="26">
        <v>2022</v>
      </c>
      <c r="D3" s="26">
        <f>C3+1</f>
        <v>2023</v>
      </c>
      <c r="E3" s="26">
        <f>D3+1</f>
        <v>2024</v>
      </c>
      <c r="F3" s="26">
        <f t="shared" ref="F3:K3" si="0">E3+1</f>
        <v>2025</v>
      </c>
      <c r="G3" s="26">
        <f t="shared" si="0"/>
        <v>2026</v>
      </c>
      <c r="H3" s="26">
        <f t="shared" si="0"/>
        <v>2027</v>
      </c>
      <c r="I3" s="26">
        <f t="shared" si="0"/>
        <v>2028</v>
      </c>
      <c r="J3" s="26">
        <f t="shared" si="0"/>
        <v>2029</v>
      </c>
      <c r="K3" s="26">
        <f t="shared" si="0"/>
        <v>2030</v>
      </c>
      <c r="L3" s="26">
        <f t="shared" ref="L3:AN3" si="1">K3+1</f>
        <v>2031</v>
      </c>
      <c r="M3" s="26">
        <f t="shared" ref="M3:BX3" si="2">L3+1</f>
        <v>2032</v>
      </c>
      <c r="N3" s="26">
        <f t="shared" si="2"/>
        <v>2033</v>
      </c>
      <c r="O3" s="26">
        <f t="shared" si="2"/>
        <v>2034</v>
      </c>
      <c r="P3" s="26">
        <f t="shared" si="2"/>
        <v>2035</v>
      </c>
      <c r="Q3" s="26">
        <f t="shared" si="2"/>
        <v>2036</v>
      </c>
      <c r="R3" s="26">
        <f t="shared" si="2"/>
        <v>2037</v>
      </c>
      <c r="S3" s="26">
        <f t="shared" si="2"/>
        <v>2038</v>
      </c>
      <c r="T3" s="26">
        <f t="shared" si="2"/>
        <v>2039</v>
      </c>
      <c r="U3" s="26">
        <f t="shared" si="2"/>
        <v>2040</v>
      </c>
      <c r="V3" s="26">
        <f t="shared" si="2"/>
        <v>2041</v>
      </c>
      <c r="W3" s="26">
        <f t="shared" si="2"/>
        <v>2042</v>
      </c>
      <c r="X3" s="26">
        <f t="shared" si="2"/>
        <v>2043</v>
      </c>
      <c r="Y3" s="26">
        <f t="shared" si="2"/>
        <v>2044</v>
      </c>
      <c r="Z3" s="26">
        <f t="shared" si="2"/>
        <v>2045</v>
      </c>
      <c r="AA3" s="26">
        <f t="shared" si="2"/>
        <v>2046</v>
      </c>
      <c r="AB3" s="26">
        <f t="shared" si="2"/>
        <v>2047</v>
      </c>
      <c r="AC3" s="26">
        <f t="shared" si="2"/>
        <v>2048</v>
      </c>
      <c r="AD3" s="26">
        <f t="shared" si="2"/>
        <v>2049</v>
      </c>
      <c r="AE3" s="26">
        <f t="shared" si="2"/>
        <v>2050</v>
      </c>
      <c r="AF3" s="26">
        <f t="shared" si="2"/>
        <v>2051</v>
      </c>
      <c r="AG3" s="26">
        <f t="shared" si="2"/>
        <v>2052</v>
      </c>
      <c r="AH3" s="26">
        <f t="shared" si="2"/>
        <v>2053</v>
      </c>
      <c r="AI3" s="26">
        <f t="shared" si="2"/>
        <v>2054</v>
      </c>
      <c r="AJ3" s="26">
        <f t="shared" si="2"/>
        <v>2055</v>
      </c>
      <c r="AK3" s="26">
        <f t="shared" si="2"/>
        <v>2056</v>
      </c>
      <c r="AL3" s="26">
        <f t="shared" si="2"/>
        <v>2057</v>
      </c>
      <c r="AM3" s="26">
        <f t="shared" si="2"/>
        <v>2058</v>
      </c>
      <c r="AN3" s="26">
        <f t="shared" si="2"/>
        <v>2059</v>
      </c>
      <c r="AO3" s="26">
        <f t="shared" si="2"/>
        <v>2060</v>
      </c>
      <c r="AP3" s="26">
        <f t="shared" si="2"/>
        <v>2061</v>
      </c>
      <c r="AQ3" s="26">
        <f t="shared" si="2"/>
        <v>2062</v>
      </c>
      <c r="AR3" s="26">
        <f t="shared" si="2"/>
        <v>2063</v>
      </c>
      <c r="AS3" s="26">
        <f t="shared" si="2"/>
        <v>2064</v>
      </c>
      <c r="AT3" s="26">
        <f t="shared" si="2"/>
        <v>2065</v>
      </c>
      <c r="AU3" s="26">
        <f t="shared" si="2"/>
        <v>2066</v>
      </c>
      <c r="AV3" s="26">
        <f t="shared" si="2"/>
        <v>2067</v>
      </c>
      <c r="AW3" s="26">
        <f t="shared" si="2"/>
        <v>2068</v>
      </c>
      <c r="AX3" s="26">
        <f t="shared" si="2"/>
        <v>2069</v>
      </c>
      <c r="AY3" s="26">
        <f t="shared" si="2"/>
        <v>2070</v>
      </c>
      <c r="AZ3" s="26">
        <f t="shared" si="2"/>
        <v>2071</v>
      </c>
      <c r="BA3" s="26">
        <f t="shared" si="2"/>
        <v>2072</v>
      </c>
      <c r="BB3" s="26">
        <f t="shared" si="2"/>
        <v>2073</v>
      </c>
      <c r="BC3" s="26">
        <f t="shared" si="2"/>
        <v>2074</v>
      </c>
      <c r="BD3" s="26">
        <f t="shared" si="2"/>
        <v>2075</v>
      </c>
      <c r="BE3" s="26">
        <f t="shared" si="2"/>
        <v>2076</v>
      </c>
      <c r="BF3" s="26">
        <f t="shared" si="2"/>
        <v>2077</v>
      </c>
      <c r="BG3" s="26">
        <f t="shared" si="2"/>
        <v>2078</v>
      </c>
      <c r="BH3" s="26">
        <f t="shared" si="2"/>
        <v>2079</v>
      </c>
      <c r="BI3" s="26">
        <f t="shared" si="2"/>
        <v>2080</v>
      </c>
      <c r="BJ3" s="26">
        <f t="shared" si="2"/>
        <v>2081</v>
      </c>
      <c r="BK3" s="26">
        <f t="shared" si="2"/>
        <v>2082</v>
      </c>
      <c r="BL3" s="26">
        <f t="shared" si="2"/>
        <v>2083</v>
      </c>
      <c r="BM3" s="26">
        <f t="shared" si="2"/>
        <v>2084</v>
      </c>
      <c r="BN3" s="26">
        <f t="shared" si="2"/>
        <v>2085</v>
      </c>
      <c r="BO3" s="26">
        <f t="shared" si="2"/>
        <v>2086</v>
      </c>
      <c r="BP3" s="26">
        <f t="shared" si="2"/>
        <v>2087</v>
      </c>
      <c r="BQ3" s="26">
        <f t="shared" si="2"/>
        <v>2088</v>
      </c>
      <c r="BR3" s="26">
        <f t="shared" si="2"/>
        <v>2089</v>
      </c>
      <c r="BS3" s="26">
        <f t="shared" si="2"/>
        <v>2090</v>
      </c>
      <c r="BT3" s="26">
        <f t="shared" si="2"/>
        <v>2091</v>
      </c>
      <c r="BU3" s="26">
        <f t="shared" si="2"/>
        <v>2092</v>
      </c>
      <c r="BV3" s="26">
        <f t="shared" si="2"/>
        <v>2093</v>
      </c>
      <c r="BW3" s="26">
        <f t="shared" si="2"/>
        <v>2094</v>
      </c>
      <c r="BX3" s="26">
        <f t="shared" si="2"/>
        <v>2095</v>
      </c>
      <c r="BY3" s="26">
        <f t="shared" ref="BY3:EJ3" si="3">BX3+1</f>
        <v>2096</v>
      </c>
      <c r="BZ3" s="26">
        <f t="shared" si="3"/>
        <v>2097</v>
      </c>
      <c r="CA3" s="26">
        <f t="shared" si="3"/>
        <v>2098</v>
      </c>
      <c r="CB3" s="26">
        <f t="shared" si="3"/>
        <v>2099</v>
      </c>
      <c r="CC3" s="26">
        <f t="shared" si="3"/>
        <v>2100</v>
      </c>
      <c r="CD3" s="26">
        <f t="shared" si="3"/>
        <v>2101</v>
      </c>
      <c r="CE3" s="26">
        <f t="shared" si="3"/>
        <v>2102</v>
      </c>
      <c r="CF3" s="26">
        <f t="shared" si="3"/>
        <v>2103</v>
      </c>
      <c r="CG3" s="26">
        <f t="shared" si="3"/>
        <v>2104</v>
      </c>
      <c r="CH3" s="26">
        <f t="shared" si="3"/>
        <v>2105</v>
      </c>
      <c r="CI3" s="26">
        <f t="shared" si="3"/>
        <v>2106</v>
      </c>
      <c r="CJ3" s="26">
        <f t="shared" si="3"/>
        <v>2107</v>
      </c>
      <c r="CK3" s="26">
        <f t="shared" si="3"/>
        <v>2108</v>
      </c>
      <c r="CL3" s="26">
        <f t="shared" si="3"/>
        <v>2109</v>
      </c>
      <c r="CM3" s="26">
        <f t="shared" si="3"/>
        <v>2110</v>
      </c>
      <c r="CN3" s="26">
        <f t="shared" si="3"/>
        <v>2111</v>
      </c>
      <c r="CO3" s="26">
        <f t="shared" si="3"/>
        <v>2112</v>
      </c>
      <c r="CP3" s="26">
        <f t="shared" si="3"/>
        <v>2113</v>
      </c>
      <c r="CQ3" s="26">
        <f t="shared" si="3"/>
        <v>2114</v>
      </c>
      <c r="CR3" s="26">
        <f t="shared" si="3"/>
        <v>2115</v>
      </c>
      <c r="CS3" s="26">
        <f t="shared" si="3"/>
        <v>2116</v>
      </c>
      <c r="CT3" s="26">
        <f t="shared" si="3"/>
        <v>2117</v>
      </c>
      <c r="CU3" s="26">
        <f t="shared" si="3"/>
        <v>2118</v>
      </c>
      <c r="CV3" s="26">
        <f t="shared" si="3"/>
        <v>2119</v>
      </c>
      <c r="CW3" s="26">
        <f t="shared" si="3"/>
        <v>2120</v>
      </c>
      <c r="CX3" s="26">
        <f t="shared" si="3"/>
        <v>2121</v>
      </c>
      <c r="CY3" s="26">
        <f t="shared" si="3"/>
        <v>2122</v>
      </c>
      <c r="CZ3" s="26">
        <f t="shared" si="3"/>
        <v>2123</v>
      </c>
      <c r="DA3" s="26">
        <f t="shared" si="3"/>
        <v>2124</v>
      </c>
      <c r="DB3" s="26">
        <f t="shared" si="3"/>
        <v>2125</v>
      </c>
      <c r="DC3" s="26">
        <f t="shared" si="3"/>
        <v>2126</v>
      </c>
      <c r="DD3" s="26">
        <f t="shared" si="3"/>
        <v>2127</v>
      </c>
      <c r="DE3" s="26">
        <f t="shared" si="3"/>
        <v>2128</v>
      </c>
      <c r="DF3" s="26">
        <f t="shared" si="3"/>
        <v>2129</v>
      </c>
      <c r="DG3" s="26">
        <f t="shared" si="3"/>
        <v>2130</v>
      </c>
      <c r="DH3" s="26">
        <f t="shared" si="3"/>
        <v>2131</v>
      </c>
      <c r="DI3" s="26">
        <f t="shared" si="3"/>
        <v>2132</v>
      </c>
      <c r="DJ3" s="26">
        <f t="shared" si="3"/>
        <v>2133</v>
      </c>
      <c r="DK3" s="26">
        <f t="shared" si="3"/>
        <v>2134</v>
      </c>
      <c r="DL3" s="26">
        <f t="shared" si="3"/>
        <v>2135</v>
      </c>
      <c r="DM3" s="26">
        <f t="shared" si="3"/>
        <v>2136</v>
      </c>
      <c r="DN3" s="26">
        <f t="shared" si="3"/>
        <v>2137</v>
      </c>
      <c r="DO3" s="26">
        <f t="shared" si="3"/>
        <v>2138</v>
      </c>
      <c r="DP3" s="26">
        <f t="shared" si="3"/>
        <v>2139</v>
      </c>
      <c r="DQ3" s="26">
        <f t="shared" si="3"/>
        <v>2140</v>
      </c>
      <c r="DR3" s="26">
        <f t="shared" si="3"/>
        <v>2141</v>
      </c>
      <c r="DS3" s="26">
        <f t="shared" si="3"/>
        <v>2142</v>
      </c>
      <c r="DT3" s="26">
        <f t="shared" si="3"/>
        <v>2143</v>
      </c>
      <c r="DU3" s="26">
        <f t="shared" si="3"/>
        <v>2144</v>
      </c>
      <c r="DV3" s="26">
        <f t="shared" si="3"/>
        <v>2145</v>
      </c>
      <c r="DW3" s="26">
        <f t="shared" si="3"/>
        <v>2146</v>
      </c>
      <c r="DX3" s="26">
        <f t="shared" si="3"/>
        <v>2147</v>
      </c>
      <c r="DY3" s="26">
        <f t="shared" si="3"/>
        <v>2148</v>
      </c>
      <c r="DZ3" s="26">
        <f t="shared" si="3"/>
        <v>2149</v>
      </c>
      <c r="EA3" s="26">
        <f t="shared" si="3"/>
        <v>2150</v>
      </c>
      <c r="EB3" s="26">
        <f t="shared" si="3"/>
        <v>2151</v>
      </c>
      <c r="EC3" s="26">
        <f t="shared" si="3"/>
        <v>2152</v>
      </c>
      <c r="ED3" s="26">
        <f t="shared" si="3"/>
        <v>2153</v>
      </c>
      <c r="EE3" s="26">
        <f t="shared" si="3"/>
        <v>2154</v>
      </c>
      <c r="EF3" s="26">
        <f t="shared" si="3"/>
        <v>2155</v>
      </c>
      <c r="EG3" s="26">
        <f t="shared" si="3"/>
        <v>2156</v>
      </c>
      <c r="EH3" s="26">
        <f t="shared" si="3"/>
        <v>2157</v>
      </c>
      <c r="EI3" s="26">
        <f t="shared" si="3"/>
        <v>2158</v>
      </c>
      <c r="EJ3" s="26">
        <f t="shared" si="3"/>
        <v>2159</v>
      </c>
      <c r="EK3" s="26">
        <f t="shared" ref="EK3:GV3" si="4">EJ3+1</f>
        <v>2160</v>
      </c>
      <c r="EL3" s="26">
        <f t="shared" si="4"/>
        <v>2161</v>
      </c>
      <c r="EM3" s="26">
        <f t="shared" si="4"/>
        <v>2162</v>
      </c>
      <c r="EN3" s="26">
        <f t="shared" si="4"/>
        <v>2163</v>
      </c>
      <c r="EO3" s="26">
        <f t="shared" si="4"/>
        <v>2164</v>
      </c>
      <c r="EP3" s="26">
        <f t="shared" si="4"/>
        <v>2165</v>
      </c>
      <c r="EQ3" s="26">
        <f t="shared" si="4"/>
        <v>2166</v>
      </c>
      <c r="ER3" s="26">
        <f t="shared" si="4"/>
        <v>2167</v>
      </c>
      <c r="ES3" s="26">
        <f t="shared" si="4"/>
        <v>2168</v>
      </c>
      <c r="ET3" s="26">
        <f t="shared" si="4"/>
        <v>2169</v>
      </c>
      <c r="EU3" s="26">
        <f t="shared" si="4"/>
        <v>2170</v>
      </c>
      <c r="EV3" s="26">
        <f t="shared" si="4"/>
        <v>2171</v>
      </c>
      <c r="EW3" s="26">
        <f t="shared" si="4"/>
        <v>2172</v>
      </c>
      <c r="EX3" s="26">
        <f t="shared" si="4"/>
        <v>2173</v>
      </c>
      <c r="EY3" s="26">
        <f t="shared" si="4"/>
        <v>2174</v>
      </c>
      <c r="EZ3" s="26">
        <f t="shared" si="4"/>
        <v>2175</v>
      </c>
      <c r="FA3" s="26">
        <f t="shared" si="4"/>
        <v>2176</v>
      </c>
      <c r="FB3" s="26">
        <f t="shared" si="4"/>
        <v>2177</v>
      </c>
      <c r="FC3" s="26">
        <f t="shared" si="4"/>
        <v>2178</v>
      </c>
      <c r="FD3" s="26">
        <f t="shared" si="4"/>
        <v>2179</v>
      </c>
      <c r="FE3" s="26">
        <f t="shared" si="4"/>
        <v>2180</v>
      </c>
      <c r="FF3" s="26">
        <f t="shared" si="4"/>
        <v>2181</v>
      </c>
      <c r="FG3" s="26">
        <f t="shared" si="4"/>
        <v>2182</v>
      </c>
      <c r="FH3" s="26">
        <f t="shared" si="4"/>
        <v>2183</v>
      </c>
      <c r="FI3" s="26">
        <f t="shared" si="4"/>
        <v>2184</v>
      </c>
      <c r="FJ3" s="26">
        <f t="shared" si="4"/>
        <v>2185</v>
      </c>
      <c r="FK3" s="26">
        <f t="shared" si="4"/>
        <v>2186</v>
      </c>
      <c r="FL3" s="26">
        <f t="shared" si="4"/>
        <v>2187</v>
      </c>
      <c r="FM3" s="26">
        <f t="shared" si="4"/>
        <v>2188</v>
      </c>
      <c r="FN3" s="26">
        <f t="shared" si="4"/>
        <v>2189</v>
      </c>
      <c r="FO3" s="26">
        <f t="shared" si="4"/>
        <v>2190</v>
      </c>
      <c r="FP3" s="26">
        <f t="shared" si="4"/>
        <v>2191</v>
      </c>
      <c r="FQ3" s="26">
        <f t="shared" si="4"/>
        <v>2192</v>
      </c>
      <c r="FR3" s="26">
        <f t="shared" si="4"/>
        <v>2193</v>
      </c>
      <c r="FS3" s="26">
        <f t="shared" si="4"/>
        <v>2194</v>
      </c>
      <c r="FT3" s="26">
        <f t="shared" si="4"/>
        <v>2195</v>
      </c>
      <c r="FU3" s="26">
        <f t="shared" si="4"/>
        <v>2196</v>
      </c>
      <c r="FV3" s="26">
        <f t="shared" si="4"/>
        <v>2197</v>
      </c>
      <c r="FW3" s="26">
        <f t="shared" si="4"/>
        <v>2198</v>
      </c>
      <c r="FX3" s="26">
        <f t="shared" si="4"/>
        <v>2199</v>
      </c>
      <c r="FY3" s="26">
        <f t="shared" si="4"/>
        <v>2200</v>
      </c>
      <c r="FZ3" s="26">
        <f t="shared" si="4"/>
        <v>2201</v>
      </c>
      <c r="GA3" s="26">
        <f t="shared" si="4"/>
        <v>2202</v>
      </c>
      <c r="GB3" s="26">
        <f t="shared" si="4"/>
        <v>2203</v>
      </c>
      <c r="GC3" s="26">
        <f t="shared" si="4"/>
        <v>2204</v>
      </c>
      <c r="GD3" s="26">
        <f t="shared" si="4"/>
        <v>2205</v>
      </c>
      <c r="GE3" s="26">
        <f t="shared" si="4"/>
        <v>2206</v>
      </c>
      <c r="GF3" s="26">
        <f t="shared" si="4"/>
        <v>2207</v>
      </c>
      <c r="GG3" s="26">
        <f t="shared" si="4"/>
        <v>2208</v>
      </c>
      <c r="GH3" s="26">
        <f t="shared" si="4"/>
        <v>2209</v>
      </c>
      <c r="GI3" s="26">
        <f t="shared" si="4"/>
        <v>2210</v>
      </c>
      <c r="GJ3" s="26">
        <f t="shared" si="4"/>
        <v>2211</v>
      </c>
      <c r="GK3" s="26">
        <f t="shared" si="4"/>
        <v>2212</v>
      </c>
      <c r="GL3" s="26">
        <f t="shared" si="4"/>
        <v>2213</v>
      </c>
      <c r="GM3" s="26">
        <f t="shared" si="4"/>
        <v>2214</v>
      </c>
      <c r="GN3" s="26">
        <f t="shared" si="4"/>
        <v>2215</v>
      </c>
      <c r="GO3" s="26">
        <f t="shared" si="4"/>
        <v>2216</v>
      </c>
      <c r="GP3" s="26">
        <f t="shared" si="4"/>
        <v>2217</v>
      </c>
      <c r="GQ3" s="26">
        <f t="shared" si="4"/>
        <v>2218</v>
      </c>
      <c r="GR3" s="26">
        <f t="shared" si="4"/>
        <v>2219</v>
      </c>
      <c r="GS3" s="26">
        <f t="shared" si="4"/>
        <v>2220</v>
      </c>
      <c r="GT3" s="26">
        <f t="shared" si="4"/>
        <v>2221</v>
      </c>
      <c r="GU3" s="26">
        <f t="shared" si="4"/>
        <v>2222</v>
      </c>
      <c r="GV3" s="26">
        <f t="shared" si="4"/>
        <v>2223</v>
      </c>
      <c r="GW3" s="26">
        <f t="shared" ref="GW3:HD3" si="5">GV3+1</f>
        <v>2224</v>
      </c>
      <c r="GX3" s="26">
        <f t="shared" si="5"/>
        <v>2225</v>
      </c>
      <c r="GY3" s="26">
        <f t="shared" si="5"/>
        <v>2226</v>
      </c>
      <c r="GZ3" s="26">
        <f t="shared" si="5"/>
        <v>2227</v>
      </c>
      <c r="HA3" s="26">
        <f t="shared" si="5"/>
        <v>2228</v>
      </c>
      <c r="HB3" s="26">
        <f t="shared" si="5"/>
        <v>2229</v>
      </c>
      <c r="HC3" s="26">
        <f t="shared" si="5"/>
        <v>2230</v>
      </c>
      <c r="HD3" s="26">
        <f t="shared" si="5"/>
        <v>2231</v>
      </c>
      <c r="HE3" s="26">
        <f t="shared" ref="HE3:JP3" si="6">HD3+1</f>
        <v>2232</v>
      </c>
      <c r="HF3" s="26">
        <f t="shared" si="6"/>
        <v>2233</v>
      </c>
      <c r="HG3" s="26">
        <f t="shared" si="6"/>
        <v>2234</v>
      </c>
      <c r="HH3" s="26">
        <f t="shared" si="6"/>
        <v>2235</v>
      </c>
      <c r="HI3" s="26">
        <f t="shared" si="6"/>
        <v>2236</v>
      </c>
      <c r="HJ3" s="26">
        <f t="shared" si="6"/>
        <v>2237</v>
      </c>
      <c r="HK3" s="26">
        <f t="shared" si="6"/>
        <v>2238</v>
      </c>
      <c r="HL3" s="26">
        <f t="shared" si="6"/>
        <v>2239</v>
      </c>
      <c r="HM3" s="26">
        <f t="shared" si="6"/>
        <v>2240</v>
      </c>
      <c r="HN3" s="26">
        <f t="shared" si="6"/>
        <v>2241</v>
      </c>
      <c r="HO3" s="26">
        <f t="shared" si="6"/>
        <v>2242</v>
      </c>
      <c r="HP3" s="26">
        <f t="shared" si="6"/>
        <v>2243</v>
      </c>
      <c r="HQ3" s="26">
        <f t="shared" si="6"/>
        <v>2244</v>
      </c>
      <c r="HR3" s="26">
        <f t="shared" si="6"/>
        <v>2245</v>
      </c>
      <c r="HS3" s="26">
        <f t="shared" si="6"/>
        <v>2246</v>
      </c>
      <c r="HT3" s="26">
        <f t="shared" si="6"/>
        <v>2247</v>
      </c>
      <c r="HU3" s="26">
        <f t="shared" si="6"/>
        <v>2248</v>
      </c>
      <c r="HV3" s="26">
        <f t="shared" si="6"/>
        <v>2249</v>
      </c>
      <c r="HW3" s="26">
        <f t="shared" si="6"/>
        <v>2250</v>
      </c>
      <c r="HX3" s="26">
        <f t="shared" si="6"/>
        <v>2251</v>
      </c>
      <c r="HY3" s="26">
        <f t="shared" si="6"/>
        <v>2252</v>
      </c>
      <c r="HZ3" s="26">
        <f t="shared" si="6"/>
        <v>2253</v>
      </c>
      <c r="IA3" s="26">
        <f t="shared" si="6"/>
        <v>2254</v>
      </c>
      <c r="IB3" s="26">
        <f t="shared" si="6"/>
        <v>2255</v>
      </c>
      <c r="IC3" s="26">
        <f t="shared" si="6"/>
        <v>2256</v>
      </c>
      <c r="ID3" s="26">
        <f t="shared" si="6"/>
        <v>2257</v>
      </c>
      <c r="IE3" s="26">
        <f t="shared" si="6"/>
        <v>2258</v>
      </c>
      <c r="IF3" s="26">
        <f t="shared" si="6"/>
        <v>2259</v>
      </c>
      <c r="IG3" s="26">
        <f t="shared" si="6"/>
        <v>2260</v>
      </c>
      <c r="IH3" s="26">
        <f t="shared" si="6"/>
        <v>2261</v>
      </c>
      <c r="II3" s="26">
        <f t="shared" si="6"/>
        <v>2262</v>
      </c>
      <c r="IJ3" s="26">
        <f t="shared" si="6"/>
        <v>2263</v>
      </c>
      <c r="IK3" s="26">
        <f t="shared" si="6"/>
        <v>2264</v>
      </c>
      <c r="IL3" s="26">
        <f t="shared" si="6"/>
        <v>2265</v>
      </c>
      <c r="IM3" s="26">
        <f t="shared" si="6"/>
        <v>2266</v>
      </c>
      <c r="IN3" s="26">
        <f t="shared" si="6"/>
        <v>2267</v>
      </c>
      <c r="IO3" s="26">
        <f t="shared" si="6"/>
        <v>2268</v>
      </c>
      <c r="IP3" s="26">
        <f t="shared" si="6"/>
        <v>2269</v>
      </c>
      <c r="IQ3" s="26">
        <f t="shared" si="6"/>
        <v>2270</v>
      </c>
      <c r="IR3" s="26">
        <f t="shared" si="6"/>
        <v>2271</v>
      </c>
      <c r="IS3" s="26">
        <f t="shared" si="6"/>
        <v>2272</v>
      </c>
      <c r="IT3" s="26">
        <f t="shared" si="6"/>
        <v>2273</v>
      </c>
      <c r="IU3" s="26">
        <f t="shared" si="6"/>
        <v>2274</v>
      </c>
      <c r="IV3" s="26">
        <f t="shared" si="6"/>
        <v>2275</v>
      </c>
      <c r="IW3" s="26">
        <f t="shared" si="6"/>
        <v>2276</v>
      </c>
      <c r="IX3" s="26">
        <f t="shared" si="6"/>
        <v>2277</v>
      </c>
      <c r="IY3" s="26">
        <f t="shared" si="6"/>
        <v>2278</v>
      </c>
      <c r="IZ3" s="26">
        <f t="shared" si="6"/>
        <v>2279</v>
      </c>
      <c r="JA3" s="26">
        <f t="shared" si="6"/>
        <v>2280</v>
      </c>
      <c r="JB3" s="26">
        <f t="shared" si="6"/>
        <v>2281</v>
      </c>
      <c r="JC3" s="26">
        <f t="shared" si="6"/>
        <v>2282</v>
      </c>
      <c r="JD3" s="26">
        <f t="shared" si="6"/>
        <v>2283</v>
      </c>
      <c r="JE3" s="26">
        <f t="shared" si="6"/>
        <v>2284</v>
      </c>
      <c r="JF3" s="26">
        <f t="shared" si="6"/>
        <v>2285</v>
      </c>
      <c r="JG3" s="26">
        <f t="shared" si="6"/>
        <v>2286</v>
      </c>
      <c r="JH3" s="26">
        <f t="shared" si="6"/>
        <v>2287</v>
      </c>
      <c r="JI3" s="26">
        <f t="shared" si="6"/>
        <v>2288</v>
      </c>
      <c r="JJ3" s="26">
        <f t="shared" si="6"/>
        <v>2289</v>
      </c>
      <c r="JK3" s="26">
        <f t="shared" si="6"/>
        <v>2290</v>
      </c>
      <c r="JL3" s="26">
        <f t="shared" si="6"/>
        <v>2291</v>
      </c>
      <c r="JM3" s="26">
        <f t="shared" si="6"/>
        <v>2292</v>
      </c>
      <c r="JN3" s="26">
        <f t="shared" si="6"/>
        <v>2293</v>
      </c>
      <c r="JO3" s="26">
        <f t="shared" si="6"/>
        <v>2294</v>
      </c>
      <c r="JP3" s="26">
        <f t="shared" si="6"/>
        <v>2295</v>
      </c>
      <c r="JQ3" s="26">
        <f t="shared" ref="JQ3:LI3" si="7">JP3+1</f>
        <v>2296</v>
      </c>
      <c r="JR3" s="26">
        <f t="shared" si="7"/>
        <v>2297</v>
      </c>
      <c r="JS3" s="26">
        <f t="shared" si="7"/>
        <v>2298</v>
      </c>
      <c r="JT3" s="26">
        <f t="shared" si="7"/>
        <v>2299</v>
      </c>
      <c r="JU3" s="26">
        <f t="shared" si="7"/>
        <v>2300</v>
      </c>
      <c r="JV3" s="26">
        <f t="shared" si="7"/>
        <v>2301</v>
      </c>
      <c r="JW3" s="26">
        <f t="shared" si="7"/>
        <v>2302</v>
      </c>
      <c r="JX3" s="26">
        <f t="shared" si="7"/>
        <v>2303</v>
      </c>
      <c r="JY3" s="26">
        <f t="shared" si="7"/>
        <v>2304</v>
      </c>
      <c r="JZ3" s="26">
        <f t="shared" si="7"/>
        <v>2305</v>
      </c>
      <c r="KA3" s="26">
        <f t="shared" si="7"/>
        <v>2306</v>
      </c>
      <c r="KB3" s="26">
        <f t="shared" si="7"/>
        <v>2307</v>
      </c>
      <c r="KC3" s="26">
        <f t="shared" si="7"/>
        <v>2308</v>
      </c>
      <c r="KD3" s="26">
        <f t="shared" si="7"/>
        <v>2309</v>
      </c>
      <c r="KE3" s="26">
        <f t="shared" si="7"/>
        <v>2310</v>
      </c>
      <c r="KF3" s="26">
        <f t="shared" si="7"/>
        <v>2311</v>
      </c>
      <c r="KG3" s="26">
        <f t="shared" si="7"/>
        <v>2312</v>
      </c>
      <c r="KH3" s="26">
        <f t="shared" si="7"/>
        <v>2313</v>
      </c>
      <c r="KI3" s="26">
        <f t="shared" si="7"/>
        <v>2314</v>
      </c>
      <c r="KJ3" s="26">
        <f t="shared" si="7"/>
        <v>2315</v>
      </c>
      <c r="KK3" s="26">
        <f t="shared" si="7"/>
        <v>2316</v>
      </c>
      <c r="KL3" s="26">
        <f t="shared" si="7"/>
        <v>2317</v>
      </c>
      <c r="KM3" s="26">
        <f t="shared" si="7"/>
        <v>2318</v>
      </c>
      <c r="KN3" s="26">
        <f t="shared" si="7"/>
        <v>2319</v>
      </c>
      <c r="KO3" s="26">
        <f t="shared" si="7"/>
        <v>2320</v>
      </c>
      <c r="KP3" s="26">
        <f t="shared" si="7"/>
        <v>2321</v>
      </c>
      <c r="KQ3" s="26">
        <f t="shared" si="7"/>
        <v>2322</v>
      </c>
      <c r="KR3" s="26">
        <f t="shared" si="7"/>
        <v>2323</v>
      </c>
      <c r="KS3" s="26">
        <f t="shared" si="7"/>
        <v>2324</v>
      </c>
      <c r="KT3" s="26">
        <f t="shared" si="7"/>
        <v>2325</v>
      </c>
      <c r="KU3" s="26">
        <f t="shared" si="7"/>
        <v>2326</v>
      </c>
      <c r="KV3" s="26">
        <f t="shared" si="7"/>
        <v>2327</v>
      </c>
      <c r="KW3" s="26">
        <f t="shared" si="7"/>
        <v>2328</v>
      </c>
      <c r="KX3" s="26">
        <f t="shared" si="7"/>
        <v>2329</v>
      </c>
      <c r="KY3" s="26">
        <f t="shared" si="7"/>
        <v>2330</v>
      </c>
      <c r="KZ3" s="26">
        <f t="shared" si="7"/>
        <v>2331</v>
      </c>
      <c r="LA3" s="26">
        <f t="shared" si="7"/>
        <v>2332</v>
      </c>
      <c r="LB3" s="26">
        <f t="shared" si="7"/>
        <v>2333</v>
      </c>
      <c r="LC3" s="26">
        <f t="shared" si="7"/>
        <v>2334</v>
      </c>
      <c r="LD3" s="26">
        <f t="shared" si="7"/>
        <v>2335</v>
      </c>
      <c r="LE3" s="26">
        <f t="shared" si="7"/>
        <v>2336</v>
      </c>
      <c r="LF3" s="26">
        <f t="shared" si="7"/>
        <v>2337</v>
      </c>
      <c r="LG3" s="26">
        <f t="shared" si="7"/>
        <v>2338</v>
      </c>
      <c r="LH3" s="26">
        <f t="shared" si="7"/>
        <v>2339</v>
      </c>
      <c r="LI3" s="26">
        <f t="shared" si="7"/>
        <v>2340</v>
      </c>
      <c r="LJ3" s="26">
        <f t="shared" ref="LJ3:NQ3" si="8">LI3+1</f>
        <v>2341</v>
      </c>
      <c r="LK3" s="26">
        <f t="shared" si="8"/>
        <v>2342</v>
      </c>
      <c r="LL3" s="26">
        <f t="shared" si="8"/>
        <v>2343</v>
      </c>
      <c r="LM3" s="26">
        <f t="shared" si="8"/>
        <v>2344</v>
      </c>
      <c r="LN3" s="26">
        <f t="shared" si="8"/>
        <v>2345</v>
      </c>
      <c r="LO3" s="26">
        <f t="shared" si="8"/>
        <v>2346</v>
      </c>
      <c r="LP3" s="26">
        <f t="shared" si="8"/>
        <v>2347</v>
      </c>
      <c r="LQ3" s="26">
        <f t="shared" si="8"/>
        <v>2348</v>
      </c>
      <c r="LR3" s="26">
        <f t="shared" si="8"/>
        <v>2349</v>
      </c>
      <c r="LS3" s="26">
        <f t="shared" si="8"/>
        <v>2350</v>
      </c>
      <c r="LT3" s="26">
        <f t="shared" si="8"/>
        <v>2351</v>
      </c>
      <c r="LU3" s="26">
        <f t="shared" si="8"/>
        <v>2352</v>
      </c>
      <c r="LV3" s="26">
        <f t="shared" si="8"/>
        <v>2353</v>
      </c>
      <c r="LW3" s="26">
        <f t="shared" si="8"/>
        <v>2354</v>
      </c>
      <c r="LX3" s="26">
        <f t="shared" si="8"/>
        <v>2355</v>
      </c>
      <c r="LY3" s="26">
        <f t="shared" si="8"/>
        <v>2356</v>
      </c>
      <c r="LZ3" s="26">
        <f t="shared" si="8"/>
        <v>2357</v>
      </c>
      <c r="MA3" s="26">
        <f t="shared" si="8"/>
        <v>2358</v>
      </c>
      <c r="MB3" s="26">
        <f t="shared" si="8"/>
        <v>2359</v>
      </c>
      <c r="MC3" s="26">
        <f t="shared" si="8"/>
        <v>2360</v>
      </c>
      <c r="MD3" s="26">
        <f t="shared" si="8"/>
        <v>2361</v>
      </c>
      <c r="ME3" s="26">
        <f t="shared" si="8"/>
        <v>2362</v>
      </c>
      <c r="MF3" s="26">
        <f t="shared" si="8"/>
        <v>2363</v>
      </c>
      <c r="MG3" s="26">
        <f t="shared" si="8"/>
        <v>2364</v>
      </c>
      <c r="MH3" s="26">
        <f t="shared" si="8"/>
        <v>2365</v>
      </c>
      <c r="MI3" s="26">
        <f t="shared" si="8"/>
        <v>2366</v>
      </c>
      <c r="MJ3" s="26">
        <f t="shared" si="8"/>
        <v>2367</v>
      </c>
      <c r="MK3" s="26">
        <f t="shared" si="8"/>
        <v>2368</v>
      </c>
      <c r="ML3" s="26">
        <f t="shared" si="8"/>
        <v>2369</v>
      </c>
      <c r="MM3" s="26">
        <f t="shared" si="8"/>
        <v>2370</v>
      </c>
      <c r="MN3" s="26">
        <f t="shared" si="8"/>
        <v>2371</v>
      </c>
      <c r="MO3" s="26">
        <f t="shared" si="8"/>
        <v>2372</v>
      </c>
      <c r="MP3" s="26">
        <f t="shared" si="8"/>
        <v>2373</v>
      </c>
      <c r="MQ3" s="26">
        <f t="shared" si="8"/>
        <v>2374</v>
      </c>
      <c r="MR3" s="26">
        <f t="shared" si="8"/>
        <v>2375</v>
      </c>
      <c r="MS3" s="26">
        <f t="shared" si="8"/>
        <v>2376</v>
      </c>
      <c r="MT3" s="26">
        <f t="shared" si="8"/>
        <v>2377</v>
      </c>
      <c r="MU3" s="26">
        <f t="shared" si="8"/>
        <v>2378</v>
      </c>
      <c r="MV3" s="26">
        <f t="shared" si="8"/>
        <v>2379</v>
      </c>
      <c r="MW3" s="26">
        <f t="shared" si="8"/>
        <v>2380</v>
      </c>
      <c r="MX3" s="26">
        <f t="shared" si="8"/>
        <v>2381</v>
      </c>
      <c r="MY3" s="26">
        <f t="shared" si="8"/>
        <v>2382</v>
      </c>
      <c r="MZ3" s="26">
        <f t="shared" si="8"/>
        <v>2383</v>
      </c>
      <c r="NA3" s="26">
        <f t="shared" si="8"/>
        <v>2384</v>
      </c>
      <c r="NB3" s="26">
        <f t="shared" si="8"/>
        <v>2385</v>
      </c>
      <c r="NC3" s="26">
        <f t="shared" si="8"/>
        <v>2386</v>
      </c>
      <c r="ND3" s="26">
        <f t="shared" si="8"/>
        <v>2387</v>
      </c>
      <c r="NE3" s="26">
        <f t="shared" si="8"/>
        <v>2388</v>
      </c>
      <c r="NF3" s="26">
        <f t="shared" si="8"/>
        <v>2389</v>
      </c>
      <c r="NG3" s="26">
        <f t="shared" si="8"/>
        <v>2390</v>
      </c>
      <c r="NH3" s="26">
        <f t="shared" si="8"/>
        <v>2391</v>
      </c>
      <c r="NI3" s="26">
        <f t="shared" si="8"/>
        <v>2392</v>
      </c>
      <c r="NJ3" s="26">
        <f t="shared" si="8"/>
        <v>2393</v>
      </c>
      <c r="NK3" s="26">
        <f t="shared" si="8"/>
        <v>2394</v>
      </c>
      <c r="NL3" s="26">
        <f t="shared" si="8"/>
        <v>2395</v>
      </c>
      <c r="NM3" s="26">
        <f t="shared" si="8"/>
        <v>2396</v>
      </c>
      <c r="NN3" s="26">
        <f t="shared" si="8"/>
        <v>2397</v>
      </c>
      <c r="NO3" s="26">
        <f t="shared" si="8"/>
        <v>2398</v>
      </c>
      <c r="NP3" s="26">
        <f t="shared" si="8"/>
        <v>2399</v>
      </c>
      <c r="NQ3" s="26">
        <f t="shared" si="8"/>
        <v>2400</v>
      </c>
    </row>
    <row r="4" spans="2:381" x14ac:dyDescent="0.55000000000000004">
      <c r="B4" s="29" t="s">
        <v>3</v>
      </c>
      <c r="C4" s="17"/>
      <c r="D4" s="31"/>
      <c r="E4" s="31"/>
      <c r="F4" s="31"/>
      <c r="G4" s="31"/>
      <c r="H4" s="31"/>
      <c r="I4" s="31"/>
      <c r="J4" s="31"/>
      <c r="K4" s="32"/>
    </row>
    <row r="5" spans="2:381" x14ac:dyDescent="0.55000000000000004">
      <c r="B5" s="15" t="s">
        <v>0</v>
      </c>
      <c r="C5" s="33">
        <v>1468000000</v>
      </c>
      <c r="D5" s="34">
        <v>1768000000</v>
      </c>
      <c r="E5" s="34">
        <v>2136000000</v>
      </c>
      <c r="F5" s="34">
        <f>E5*1.3</f>
        <v>2776800000</v>
      </c>
      <c r="G5" s="34">
        <f>F5*1.3</f>
        <v>3609840000</v>
      </c>
      <c r="H5" s="34">
        <f>G5*1.2</f>
        <v>4331808000</v>
      </c>
      <c r="I5" s="34">
        <f>H5*1.2</f>
        <v>5198169600</v>
      </c>
      <c r="J5" s="34">
        <f>I5*1.1</f>
        <v>5717986560</v>
      </c>
      <c r="K5" s="35">
        <f>J5*1.1</f>
        <v>6289785216.000001</v>
      </c>
    </row>
    <row r="6" spans="2:381" x14ac:dyDescent="0.55000000000000004">
      <c r="B6" s="15" t="s">
        <v>1</v>
      </c>
      <c r="C6" s="33">
        <v>436000000</v>
      </c>
      <c r="D6" s="34">
        <v>508000000</v>
      </c>
      <c r="E6" s="34">
        <v>675000000</v>
      </c>
      <c r="F6" s="34">
        <f>E6*1.3</f>
        <v>877500000</v>
      </c>
      <c r="G6" s="34">
        <f>F6*1.3</f>
        <v>1140750000</v>
      </c>
      <c r="H6" s="34">
        <f>G6*1.2</f>
        <v>1368900000</v>
      </c>
      <c r="I6" s="34">
        <f>H6*1.2</f>
        <v>1642680000</v>
      </c>
      <c r="J6" s="34">
        <f>I6*1.1</f>
        <v>1806948000.0000002</v>
      </c>
      <c r="K6" s="35">
        <f>J6*1.1</f>
        <v>1987642800.0000005</v>
      </c>
    </row>
    <row r="7" spans="2:381" x14ac:dyDescent="0.55000000000000004">
      <c r="B7" s="45" t="s">
        <v>2</v>
      </c>
      <c r="C7" s="46">
        <f>SUM(C5:C6)</f>
        <v>1904000000</v>
      </c>
      <c r="D7" s="47">
        <f>SUM(D5:D6)</f>
        <v>2276000000</v>
      </c>
      <c r="E7" s="47">
        <f>SUM(E5:E6)</f>
        <v>2811000000</v>
      </c>
      <c r="F7" s="47">
        <f>SUM(F5:F6)</f>
        <v>3654300000</v>
      </c>
      <c r="G7" s="47">
        <f>SUM(G5:G6)</f>
        <v>4750590000</v>
      </c>
      <c r="H7" s="47">
        <f>SUM(H5:H6)</f>
        <v>5700708000</v>
      </c>
      <c r="I7" s="47">
        <f>SUM(I5:I6)</f>
        <v>6840849600</v>
      </c>
      <c r="J7" s="47">
        <f>SUM(J5:J6)</f>
        <v>7524934560</v>
      </c>
      <c r="K7" s="48">
        <f>SUM(K5:K6)</f>
        <v>8277428016.0000019</v>
      </c>
    </row>
    <row r="8" spans="2:381" x14ac:dyDescent="0.55000000000000004">
      <c r="B8" s="29" t="s">
        <v>4</v>
      </c>
      <c r="C8" s="37"/>
      <c r="D8" s="38"/>
      <c r="E8" s="38"/>
      <c r="F8" s="39"/>
      <c r="G8" s="39"/>
      <c r="H8" s="39"/>
      <c r="I8" s="39"/>
      <c r="J8" s="39"/>
      <c r="K8" s="40"/>
    </row>
    <row r="9" spans="2:381" x14ac:dyDescent="0.55000000000000004">
      <c r="B9" s="15" t="s">
        <v>5</v>
      </c>
      <c r="C9" s="33">
        <v>-520000000</v>
      </c>
      <c r="D9" s="34">
        <v>-541000000</v>
      </c>
      <c r="E9" s="34">
        <v>-596000000</v>
      </c>
      <c r="F9" s="34">
        <f>-F5*0.25</f>
        <v>-694200000</v>
      </c>
      <c r="G9" s="34">
        <f t="shared" ref="G9:K9" si="9">-G5*0.25</f>
        <v>-902460000</v>
      </c>
      <c r="H9" s="34">
        <f t="shared" si="9"/>
        <v>-1082952000</v>
      </c>
      <c r="I9" s="34">
        <f t="shared" si="9"/>
        <v>-1299542400</v>
      </c>
      <c r="J9" s="34">
        <f t="shared" si="9"/>
        <v>-1429496640</v>
      </c>
      <c r="K9" s="35">
        <f t="shared" si="9"/>
        <v>-1572446304.0000002</v>
      </c>
    </row>
    <row r="10" spans="2:381" x14ac:dyDescent="0.55000000000000004">
      <c r="B10" s="15" t="s">
        <v>6</v>
      </c>
      <c r="C10" s="33">
        <v>-550000000</v>
      </c>
      <c r="D10" s="34">
        <v>-353000000</v>
      </c>
      <c r="E10" s="34">
        <v>-495000000</v>
      </c>
      <c r="F10" s="34">
        <f>-F7*0.15</f>
        <v>-548145000</v>
      </c>
      <c r="G10" s="34">
        <f t="shared" ref="G10:K10" si="10">-G7*0.15</f>
        <v>-712588500</v>
      </c>
      <c r="H10" s="34">
        <f t="shared" si="10"/>
        <v>-855106200</v>
      </c>
      <c r="I10" s="34">
        <f t="shared" si="10"/>
        <v>-1026127440</v>
      </c>
      <c r="J10" s="34">
        <f t="shared" si="10"/>
        <v>-1128740184</v>
      </c>
      <c r="K10" s="35">
        <f t="shared" si="10"/>
        <v>-1241614202.4000003</v>
      </c>
    </row>
    <row r="11" spans="2:381" x14ac:dyDescent="0.55000000000000004">
      <c r="B11" s="15" t="s">
        <v>7</v>
      </c>
      <c r="C11" s="33">
        <v>-147000000</v>
      </c>
      <c r="D11" s="34">
        <v>-297000000</v>
      </c>
      <c r="E11" s="34">
        <v>-503000000</v>
      </c>
      <c r="F11" s="34">
        <f>-F7*0.05</f>
        <v>-182715000</v>
      </c>
      <c r="G11" s="34">
        <f t="shared" ref="G11:K11" si="11">-G7*0.05</f>
        <v>-237529500</v>
      </c>
      <c r="H11" s="34">
        <f t="shared" si="11"/>
        <v>-285035400</v>
      </c>
      <c r="I11" s="34">
        <f t="shared" si="11"/>
        <v>-342042480</v>
      </c>
      <c r="J11" s="34">
        <f t="shared" si="11"/>
        <v>-376246728</v>
      </c>
      <c r="K11" s="35">
        <f t="shared" si="11"/>
        <v>-413871400.80000013</v>
      </c>
    </row>
    <row r="12" spans="2:381" x14ac:dyDescent="0.55000000000000004">
      <c r="B12" s="15" t="s">
        <v>8</v>
      </c>
      <c r="C12" s="33">
        <v>-430000000</v>
      </c>
      <c r="D12" s="34">
        <v>-389000000</v>
      </c>
      <c r="E12" s="34">
        <v>-444000000</v>
      </c>
      <c r="F12" s="34">
        <f>E12</f>
        <v>-444000000</v>
      </c>
      <c r="G12" s="34">
        <f t="shared" ref="G12:K12" si="12">F12</f>
        <v>-444000000</v>
      </c>
      <c r="H12" s="34">
        <f t="shared" si="12"/>
        <v>-444000000</v>
      </c>
      <c r="I12" s="34">
        <f t="shared" si="12"/>
        <v>-444000000</v>
      </c>
      <c r="J12" s="34">
        <f t="shared" si="12"/>
        <v>-444000000</v>
      </c>
      <c r="K12" s="35">
        <f t="shared" si="12"/>
        <v>-444000000</v>
      </c>
    </row>
    <row r="13" spans="2:381" x14ac:dyDescent="0.55000000000000004">
      <c r="B13" s="15" t="s">
        <v>9</v>
      </c>
      <c r="C13" s="33">
        <v>-531000000</v>
      </c>
      <c r="D13" s="34">
        <v>-381000000</v>
      </c>
      <c r="E13" s="34">
        <v>-328000000</v>
      </c>
      <c r="F13" s="34">
        <f>-F7*0.05</f>
        <v>-182715000</v>
      </c>
      <c r="G13" s="34">
        <f t="shared" ref="G13:K13" si="13">-G7*0.05</f>
        <v>-237529500</v>
      </c>
      <c r="H13" s="34">
        <f t="shared" si="13"/>
        <v>-285035400</v>
      </c>
      <c r="I13" s="34">
        <f t="shared" si="13"/>
        <v>-342042480</v>
      </c>
      <c r="J13" s="34">
        <f t="shared" si="13"/>
        <v>-376246728</v>
      </c>
      <c r="K13" s="35">
        <f t="shared" si="13"/>
        <v>-413871400.80000013</v>
      </c>
    </row>
    <row r="14" spans="2:381" x14ac:dyDescent="0.55000000000000004">
      <c r="B14" s="15" t="s">
        <v>10</v>
      </c>
      <c r="C14" s="33">
        <v>-287000000</v>
      </c>
      <c r="D14" s="34">
        <v>-240000000</v>
      </c>
      <c r="E14" s="34">
        <v>-203000000</v>
      </c>
      <c r="F14" s="34">
        <f>E14</f>
        <v>-203000000</v>
      </c>
      <c r="G14" s="34">
        <f t="shared" ref="G14" si="14">F14*1.05</f>
        <v>-213150000</v>
      </c>
      <c r="H14" s="34">
        <f>G14*1</f>
        <v>-213150000</v>
      </c>
      <c r="I14" s="34">
        <f>H14*0.95</f>
        <v>-202492500</v>
      </c>
      <c r="J14" s="34">
        <f>I14*0.95</f>
        <v>-192367875</v>
      </c>
      <c r="K14" s="35">
        <f>J14*0.95</f>
        <v>-182749481.25</v>
      </c>
    </row>
    <row r="15" spans="2:381" x14ac:dyDescent="0.55000000000000004">
      <c r="B15" s="15" t="s">
        <v>11</v>
      </c>
      <c r="C15" s="33">
        <v>-320000000</v>
      </c>
      <c r="D15" s="34">
        <v>-270000000</v>
      </c>
      <c r="E15" s="34">
        <v>-281000000</v>
      </c>
      <c r="F15" s="34">
        <f>E15*1.03</f>
        <v>-289430000</v>
      </c>
      <c r="G15" s="34">
        <f t="shared" ref="G15:K15" si="15">F15*1.03</f>
        <v>-298112900</v>
      </c>
      <c r="H15" s="34">
        <f t="shared" si="15"/>
        <v>-307056287</v>
      </c>
      <c r="I15" s="34">
        <f t="shared" si="15"/>
        <v>-316267975.61000001</v>
      </c>
      <c r="J15" s="34">
        <f t="shared" si="15"/>
        <v>-325756014.87830001</v>
      </c>
      <c r="K15" s="35">
        <f t="shared" si="15"/>
        <v>-335528695.32464904</v>
      </c>
    </row>
    <row r="16" spans="2:381" x14ac:dyDescent="0.55000000000000004">
      <c r="B16" s="15" t="s">
        <v>12</v>
      </c>
      <c r="C16" s="33">
        <v>-99000000</v>
      </c>
      <c r="D16" s="34">
        <v>-128000000</v>
      </c>
      <c r="E16" s="34">
        <v>-82000000</v>
      </c>
      <c r="F16" s="34">
        <f t="shared" ref="F16" si="16">E16*1.05</f>
        <v>-86100000</v>
      </c>
      <c r="G16" s="34">
        <f>F16*1.03</f>
        <v>-88683000</v>
      </c>
      <c r="H16" s="34">
        <f>G16*1.02</f>
        <v>-90456660</v>
      </c>
      <c r="I16" s="34">
        <f>H16*1.01</f>
        <v>-91361226.599999994</v>
      </c>
      <c r="J16" s="34">
        <f>I16</f>
        <v>-91361226.599999994</v>
      </c>
      <c r="K16" s="35">
        <f>J16*0.97</f>
        <v>-88620389.801999986</v>
      </c>
    </row>
    <row r="17" spans="2:381" x14ac:dyDescent="0.55000000000000004">
      <c r="B17" s="41" t="s">
        <v>13</v>
      </c>
      <c r="C17" s="42">
        <f>SUM(C9:C16)</f>
        <v>-2884000000</v>
      </c>
      <c r="D17" s="43">
        <f>SUM(D9:D16)</f>
        <v>-2599000000</v>
      </c>
      <c r="E17" s="43">
        <f>SUM(E9:E16)</f>
        <v>-2932000000</v>
      </c>
      <c r="F17" s="43">
        <f>SUM(F9:F16)</f>
        <v>-2630305000</v>
      </c>
      <c r="G17" s="43">
        <f>SUM(G9:G16)</f>
        <v>-3134053400</v>
      </c>
      <c r="H17" s="43">
        <f>SUM(H9:H16)</f>
        <v>-3562791947</v>
      </c>
      <c r="I17" s="43">
        <f>SUM(I9:I16)</f>
        <v>-4063876502.21</v>
      </c>
      <c r="J17" s="43">
        <f>SUM(J9:J16)</f>
        <v>-4364215396.4783001</v>
      </c>
      <c r="K17" s="44">
        <f>SUM(K9:K16)</f>
        <v>-4692701874.3766499</v>
      </c>
    </row>
    <row r="18" spans="2:381" x14ac:dyDescent="0.55000000000000004">
      <c r="B18" s="30" t="s">
        <v>14</v>
      </c>
      <c r="C18" s="36">
        <f>C7+C17</f>
        <v>-980000000</v>
      </c>
      <c r="D18" s="27">
        <f>D7+D17</f>
        <v>-323000000</v>
      </c>
      <c r="E18" s="27">
        <f>E7+E17</f>
        <v>-121000000</v>
      </c>
      <c r="F18" s="27">
        <f>F7+F17</f>
        <v>1023995000</v>
      </c>
      <c r="G18" s="27">
        <f>G7+G17</f>
        <v>1616536600</v>
      </c>
      <c r="H18" s="27">
        <f>H7+H17</f>
        <v>2137916053</v>
      </c>
      <c r="I18" s="27">
        <f>I7+I17</f>
        <v>2776973097.79</v>
      </c>
      <c r="J18" s="27">
        <f>J7+J17</f>
        <v>3160719163.5216999</v>
      </c>
      <c r="K18" s="28">
        <f>K7+K17</f>
        <v>3584726141.6233521</v>
      </c>
      <c r="L18" s="27">
        <f>K18*(1+$N$29)</f>
        <v>3620573403.0395856</v>
      </c>
      <c r="M18" s="27">
        <f t="shared" ref="M18:BX18" si="17">L18*(1+$N$29)</f>
        <v>3656779137.0699816</v>
      </c>
      <c r="N18" s="27">
        <f t="shared" si="17"/>
        <v>3693346928.4406815</v>
      </c>
      <c r="O18" s="27">
        <f t="shared" si="17"/>
        <v>3730280397.7250881</v>
      </c>
      <c r="P18" s="27">
        <f t="shared" si="17"/>
        <v>3767583201.7023392</v>
      </c>
      <c r="Q18" s="27">
        <f t="shared" si="17"/>
        <v>3805259033.7193627</v>
      </c>
      <c r="R18" s="27">
        <f t="shared" si="17"/>
        <v>3843311624.0565562</v>
      </c>
      <c r="S18" s="27">
        <f t="shared" si="17"/>
        <v>3881744740.297122</v>
      </c>
      <c r="T18" s="27">
        <f t="shared" si="17"/>
        <v>3920562187.7000933</v>
      </c>
      <c r="U18" s="27">
        <f t="shared" si="17"/>
        <v>3959767809.5770941</v>
      </c>
      <c r="V18" s="27">
        <f t="shared" si="17"/>
        <v>3999365487.6728649</v>
      </c>
      <c r="W18" s="27">
        <f t="shared" si="17"/>
        <v>4039359142.5495934</v>
      </c>
      <c r="X18" s="27">
        <f t="shared" si="17"/>
        <v>4079752733.9750896</v>
      </c>
      <c r="Y18" s="27">
        <f t="shared" si="17"/>
        <v>4120550261.3148403</v>
      </c>
      <c r="Z18" s="27">
        <f t="shared" si="17"/>
        <v>4161755763.9279885</v>
      </c>
      <c r="AA18" s="27">
        <f t="shared" si="17"/>
        <v>4203373321.5672684</v>
      </c>
      <c r="AB18" s="27">
        <f t="shared" si="17"/>
        <v>4245407054.7829409</v>
      </c>
      <c r="AC18" s="27">
        <f t="shared" si="17"/>
        <v>4287861125.3307705</v>
      </c>
      <c r="AD18" s="27">
        <f t="shared" si="17"/>
        <v>4330739736.5840778</v>
      </c>
      <c r="AE18" s="27">
        <f t="shared" si="17"/>
        <v>4374047133.9499187</v>
      </c>
      <c r="AF18" s="27">
        <f t="shared" si="17"/>
        <v>4417787605.2894182</v>
      </c>
      <c r="AG18" s="27">
        <f t="shared" si="17"/>
        <v>4461965481.3423128</v>
      </c>
      <c r="AH18" s="27">
        <f t="shared" si="17"/>
        <v>4506585136.155736</v>
      </c>
      <c r="AI18" s="27">
        <f t="shared" si="17"/>
        <v>4551650987.517293</v>
      </c>
      <c r="AJ18" s="27">
        <f t="shared" si="17"/>
        <v>4597167497.3924656</v>
      </c>
      <c r="AK18" s="27">
        <f t="shared" si="17"/>
        <v>4643139172.3663902</v>
      </c>
      <c r="AL18" s="27">
        <f t="shared" si="17"/>
        <v>4689570564.0900545</v>
      </c>
      <c r="AM18" s="27">
        <f t="shared" si="17"/>
        <v>4736466269.7309551</v>
      </c>
      <c r="AN18" s="27">
        <f t="shared" si="17"/>
        <v>4783830932.4282646</v>
      </c>
      <c r="AO18" s="27">
        <f t="shared" si="17"/>
        <v>4831669241.7525473</v>
      </c>
      <c r="AP18" s="27">
        <f t="shared" si="17"/>
        <v>4879985934.1700726</v>
      </c>
      <c r="AQ18" s="27">
        <f t="shared" si="17"/>
        <v>4928785793.5117731</v>
      </c>
      <c r="AR18" s="27">
        <f t="shared" si="17"/>
        <v>4978073651.4468908</v>
      </c>
      <c r="AS18" s="27">
        <f t="shared" si="17"/>
        <v>5027854387.96136</v>
      </c>
      <c r="AT18" s="27">
        <f t="shared" si="17"/>
        <v>5078132931.8409739</v>
      </c>
      <c r="AU18" s="27">
        <f t="shared" si="17"/>
        <v>5128914261.1593838</v>
      </c>
      <c r="AV18" s="27">
        <f t="shared" si="17"/>
        <v>5180203403.770978</v>
      </c>
      <c r="AW18" s="27">
        <f t="shared" si="17"/>
        <v>5232005437.8086882</v>
      </c>
      <c r="AX18" s="27">
        <f t="shared" si="17"/>
        <v>5284325492.1867752</v>
      </c>
      <c r="AY18" s="27">
        <f t="shared" si="17"/>
        <v>5337168747.1086426</v>
      </c>
      <c r="AZ18" s="27">
        <f t="shared" si="17"/>
        <v>5390540434.5797291</v>
      </c>
      <c r="BA18" s="27">
        <f t="shared" si="17"/>
        <v>5444445838.9255266</v>
      </c>
      <c r="BB18" s="27">
        <f t="shared" si="17"/>
        <v>5498890297.3147821</v>
      </c>
      <c r="BC18" s="27">
        <f t="shared" si="17"/>
        <v>5553879200.2879305</v>
      </c>
      <c r="BD18" s="27">
        <f t="shared" si="17"/>
        <v>5609417992.2908096</v>
      </c>
      <c r="BE18" s="27">
        <f t="shared" si="17"/>
        <v>5665512172.2137175</v>
      </c>
      <c r="BF18" s="27">
        <f t="shared" si="17"/>
        <v>5722167293.9358549</v>
      </c>
      <c r="BG18" s="27">
        <f t="shared" si="17"/>
        <v>5779388966.8752136</v>
      </c>
      <c r="BH18" s="27">
        <f t="shared" si="17"/>
        <v>5837182856.5439653</v>
      </c>
      <c r="BI18" s="27">
        <f t="shared" si="17"/>
        <v>5895554685.1094055</v>
      </c>
      <c r="BJ18" s="27">
        <f t="shared" si="17"/>
        <v>5954510231.9604998</v>
      </c>
      <c r="BK18" s="27">
        <f t="shared" si="17"/>
        <v>6014055334.2801046</v>
      </c>
      <c r="BL18" s="27">
        <f t="shared" si="17"/>
        <v>6074195887.6229057</v>
      </c>
      <c r="BM18" s="27">
        <f t="shared" si="17"/>
        <v>6134937846.499135</v>
      </c>
      <c r="BN18" s="27">
        <f t="shared" si="17"/>
        <v>6196287224.9641266</v>
      </c>
      <c r="BO18" s="27">
        <f t="shared" si="17"/>
        <v>6258250097.213768</v>
      </c>
      <c r="BP18" s="27">
        <f t="shared" si="17"/>
        <v>6320832598.1859055</v>
      </c>
      <c r="BQ18" s="27">
        <f t="shared" si="17"/>
        <v>6384040924.1677647</v>
      </c>
      <c r="BR18" s="27">
        <f t="shared" si="17"/>
        <v>6447881333.4094419</v>
      </c>
      <c r="BS18" s="27">
        <f t="shared" si="17"/>
        <v>6512360146.743536</v>
      </c>
      <c r="BT18" s="27">
        <f t="shared" si="17"/>
        <v>6577483748.2109718</v>
      </c>
      <c r="BU18" s="27">
        <f t="shared" si="17"/>
        <v>6643258585.6930819</v>
      </c>
      <c r="BV18" s="27">
        <f t="shared" si="17"/>
        <v>6709691171.5500126</v>
      </c>
      <c r="BW18" s="27">
        <f t="shared" si="17"/>
        <v>6776788083.2655125</v>
      </c>
      <c r="BX18" s="27">
        <f t="shared" si="17"/>
        <v>6844555964.0981674</v>
      </c>
      <c r="BY18" s="27">
        <f t="shared" ref="BY18:EJ18" si="18">BX18*(1+$N$29)</f>
        <v>6913001523.7391491</v>
      </c>
      <c r="BZ18" s="27">
        <f t="shared" si="18"/>
        <v>6982131538.9765406</v>
      </c>
      <c r="CA18" s="27">
        <f t="shared" si="18"/>
        <v>7051952854.3663063</v>
      </c>
      <c r="CB18" s="27">
        <f t="shared" si="18"/>
        <v>7122472382.9099693</v>
      </c>
      <c r="CC18" s="27">
        <f t="shared" si="18"/>
        <v>7193697106.739069</v>
      </c>
      <c r="CD18" s="27">
        <f t="shared" si="18"/>
        <v>7265634077.8064594</v>
      </c>
      <c r="CE18" s="27">
        <f t="shared" si="18"/>
        <v>7338290418.5845242</v>
      </c>
      <c r="CF18" s="27">
        <f t="shared" si="18"/>
        <v>7411673322.7703695</v>
      </c>
      <c r="CG18" s="27">
        <f t="shared" si="18"/>
        <v>7485790055.9980736</v>
      </c>
      <c r="CH18" s="27">
        <f t="shared" si="18"/>
        <v>7560647956.558054</v>
      </c>
      <c r="CI18" s="27">
        <f t="shared" si="18"/>
        <v>7636254436.1236343</v>
      </c>
      <c r="CJ18" s="27">
        <f t="shared" si="18"/>
        <v>7712616980.4848709</v>
      </c>
      <c r="CK18" s="27">
        <f t="shared" si="18"/>
        <v>7789743150.2897196</v>
      </c>
      <c r="CL18" s="27">
        <f t="shared" si="18"/>
        <v>7867640581.7926168</v>
      </c>
      <c r="CM18" s="27">
        <f t="shared" si="18"/>
        <v>7946316987.6105433</v>
      </c>
      <c r="CN18" s="27">
        <f t="shared" si="18"/>
        <v>8025780157.4866486</v>
      </c>
      <c r="CO18" s="27">
        <f t="shared" si="18"/>
        <v>8106037959.0615149</v>
      </c>
      <c r="CP18" s="27">
        <f t="shared" si="18"/>
        <v>8187098338.6521301</v>
      </c>
      <c r="CQ18" s="27">
        <f t="shared" si="18"/>
        <v>8268969322.0386515</v>
      </c>
      <c r="CR18" s="27">
        <f t="shared" si="18"/>
        <v>8351659015.259038</v>
      </c>
      <c r="CS18" s="27">
        <f t="shared" si="18"/>
        <v>8435175605.4116287</v>
      </c>
      <c r="CT18" s="27">
        <f t="shared" si="18"/>
        <v>8519527361.465745</v>
      </c>
      <c r="CU18" s="27">
        <f t="shared" si="18"/>
        <v>8604722635.0804024</v>
      </c>
      <c r="CV18" s="27">
        <f t="shared" si="18"/>
        <v>8690769861.4312057</v>
      </c>
      <c r="CW18" s="27">
        <f t="shared" si="18"/>
        <v>8777677560.045517</v>
      </c>
      <c r="CX18" s="27">
        <f t="shared" si="18"/>
        <v>8865454335.6459713</v>
      </c>
      <c r="CY18" s="27">
        <f t="shared" si="18"/>
        <v>8954108879.0024319</v>
      </c>
      <c r="CZ18" s="27">
        <f t="shared" si="18"/>
        <v>9043649967.7924557</v>
      </c>
      <c r="DA18" s="27">
        <f t="shared" si="18"/>
        <v>9134086467.4703808</v>
      </c>
      <c r="DB18" s="27">
        <f t="shared" si="18"/>
        <v>9225427332.1450844</v>
      </c>
      <c r="DC18" s="27">
        <f t="shared" si="18"/>
        <v>9317681605.4665356</v>
      </c>
      <c r="DD18" s="27">
        <f t="shared" si="18"/>
        <v>9410858421.5212002</v>
      </c>
      <c r="DE18" s="27">
        <f t="shared" si="18"/>
        <v>9504967005.736412</v>
      </c>
      <c r="DF18" s="27">
        <f t="shared" si="18"/>
        <v>9600016675.7937756</v>
      </c>
      <c r="DG18" s="27">
        <f t="shared" si="18"/>
        <v>9696016842.5517139</v>
      </c>
      <c r="DH18" s="27">
        <f t="shared" si="18"/>
        <v>9792977010.977232</v>
      </c>
      <c r="DI18" s="27">
        <f t="shared" si="18"/>
        <v>9890906781.0870037</v>
      </c>
      <c r="DJ18" s="27">
        <f t="shared" si="18"/>
        <v>9989815848.8978729</v>
      </c>
      <c r="DK18" s="27">
        <f t="shared" si="18"/>
        <v>10089714007.386852</v>
      </c>
      <c r="DL18" s="27">
        <f t="shared" si="18"/>
        <v>10190611147.46072</v>
      </c>
      <c r="DM18" s="27">
        <f t="shared" si="18"/>
        <v>10292517258.935328</v>
      </c>
      <c r="DN18" s="27">
        <f t="shared" si="18"/>
        <v>10395442431.524681</v>
      </c>
      <c r="DO18" s="27">
        <f t="shared" si="18"/>
        <v>10499396855.839928</v>
      </c>
      <c r="DP18" s="27">
        <f t="shared" si="18"/>
        <v>10604390824.398327</v>
      </c>
      <c r="DQ18" s="27">
        <f t="shared" si="18"/>
        <v>10710434732.642311</v>
      </c>
      <c r="DR18" s="27">
        <f t="shared" si="18"/>
        <v>10817539079.968735</v>
      </c>
      <c r="DS18" s="27">
        <f t="shared" si="18"/>
        <v>10925714470.768423</v>
      </c>
      <c r="DT18" s="27">
        <f t="shared" si="18"/>
        <v>11034971615.476107</v>
      </c>
      <c r="DU18" s="27">
        <f t="shared" si="18"/>
        <v>11145321331.630867</v>
      </c>
      <c r="DV18" s="27">
        <f t="shared" si="18"/>
        <v>11256774544.947176</v>
      </c>
      <c r="DW18" s="27">
        <f t="shared" si="18"/>
        <v>11369342290.396648</v>
      </c>
      <c r="DX18" s="27">
        <f t="shared" si="18"/>
        <v>11483035713.300615</v>
      </c>
      <c r="DY18" s="27">
        <f t="shared" si="18"/>
        <v>11597866070.433622</v>
      </c>
      <c r="DZ18" s="27">
        <f t="shared" si="18"/>
        <v>11713844731.137959</v>
      </c>
      <c r="EA18" s="27">
        <f t="shared" si="18"/>
        <v>11830983178.449339</v>
      </c>
      <c r="EB18" s="27">
        <f t="shared" si="18"/>
        <v>11949293010.233833</v>
      </c>
      <c r="EC18" s="27">
        <f t="shared" si="18"/>
        <v>12068785940.336172</v>
      </c>
      <c r="ED18" s="27">
        <f t="shared" si="18"/>
        <v>12189473799.739534</v>
      </c>
      <c r="EE18" s="27">
        <f t="shared" si="18"/>
        <v>12311368537.736929</v>
      </c>
      <c r="EF18" s="27">
        <f t="shared" si="18"/>
        <v>12434482223.114298</v>
      </c>
      <c r="EG18" s="27">
        <f t="shared" si="18"/>
        <v>12558827045.345442</v>
      </c>
      <c r="EH18" s="27">
        <f t="shared" si="18"/>
        <v>12684415315.798897</v>
      </c>
      <c r="EI18" s="27">
        <f t="shared" si="18"/>
        <v>12811259468.956886</v>
      </c>
      <c r="EJ18" s="27">
        <f t="shared" si="18"/>
        <v>12939372063.646456</v>
      </c>
      <c r="EK18" s="27">
        <f t="shared" ref="EK18:GV18" si="19">EJ18*(1+$N$29)</f>
        <v>13068765784.282921</v>
      </c>
      <c r="EL18" s="27">
        <f t="shared" si="19"/>
        <v>13199453442.12575</v>
      </c>
      <c r="EM18" s="27">
        <f t="shared" si="19"/>
        <v>13331447976.547007</v>
      </c>
      <c r="EN18" s="27">
        <f t="shared" si="19"/>
        <v>13464762456.312477</v>
      </c>
      <c r="EO18" s="27">
        <f t="shared" si="19"/>
        <v>13599410080.875603</v>
      </c>
      <c r="EP18" s="27">
        <f t="shared" si="19"/>
        <v>13735404181.684359</v>
      </c>
      <c r="EQ18" s="27">
        <f t="shared" si="19"/>
        <v>13872758223.501202</v>
      </c>
      <c r="ER18" s="27">
        <f t="shared" si="19"/>
        <v>14011485805.736214</v>
      </c>
      <c r="ES18" s="27">
        <f t="shared" si="19"/>
        <v>14151600663.793575</v>
      </c>
      <c r="ET18" s="27">
        <f t="shared" si="19"/>
        <v>14293116670.431511</v>
      </c>
      <c r="EU18" s="27">
        <f t="shared" si="19"/>
        <v>14436047837.135826</v>
      </c>
      <c r="EV18" s="27">
        <f t="shared" si="19"/>
        <v>14580408315.507185</v>
      </c>
      <c r="EW18" s="27">
        <f t="shared" si="19"/>
        <v>14726212398.662256</v>
      </c>
      <c r="EX18" s="27">
        <f t="shared" si="19"/>
        <v>14873474522.648878</v>
      </c>
      <c r="EY18" s="27">
        <f t="shared" si="19"/>
        <v>15022209267.875366</v>
      </c>
      <c r="EZ18" s="27">
        <f t="shared" si="19"/>
        <v>15172431360.554119</v>
      </c>
      <c r="FA18" s="27">
        <f t="shared" si="19"/>
        <v>15324155674.15966</v>
      </c>
      <c r="FB18" s="27">
        <f t="shared" si="19"/>
        <v>15477397230.901257</v>
      </c>
      <c r="FC18" s="27">
        <f t="shared" si="19"/>
        <v>15632171203.21027</v>
      </c>
      <c r="FD18" s="27">
        <f t="shared" si="19"/>
        <v>15788492915.242373</v>
      </c>
      <c r="FE18" s="27">
        <f t="shared" si="19"/>
        <v>15946377844.394796</v>
      </c>
      <c r="FF18" s="27">
        <f t="shared" si="19"/>
        <v>16105841622.838745</v>
      </c>
      <c r="FG18" s="27">
        <f t="shared" si="19"/>
        <v>16266900039.067133</v>
      </c>
      <c r="FH18" s="27">
        <f t="shared" si="19"/>
        <v>16429569039.457804</v>
      </c>
      <c r="FI18" s="27">
        <f t="shared" si="19"/>
        <v>16593864729.852383</v>
      </c>
      <c r="FJ18" s="27">
        <f t="shared" si="19"/>
        <v>16759803377.150908</v>
      </c>
      <c r="FK18" s="27">
        <f t="shared" si="19"/>
        <v>16927401410.922417</v>
      </c>
      <c r="FL18" s="27">
        <f t="shared" si="19"/>
        <v>17096675425.031641</v>
      </c>
      <c r="FM18" s="27">
        <f t="shared" si="19"/>
        <v>17267642179.281956</v>
      </c>
      <c r="FN18" s="27">
        <f t="shared" si="19"/>
        <v>17440318601.074776</v>
      </c>
      <c r="FO18" s="27">
        <f t="shared" si="19"/>
        <v>17614721787.085526</v>
      </c>
      <c r="FP18" s="27">
        <f t="shared" si="19"/>
        <v>17790869004.956383</v>
      </c>
      <c r="FQ18" s="27">
        <f t="shared" si="19"/>
        <v>17968777695.005947</v>
      </c>
      <c r="FR18" s="27">
        <f t="shared" si="19"/>
        <v>18148465471.956005</v>
      </c>
      <c r="FS18" s="27">
        <f t="shared" si="19"/>
        <v>18329950126.675564</v>
      </c>
      <c r="FT18" s="27">
        <f t="shared" si="19"/>
        <v>18513249627.942318</v>
      </c>
      <c r="FU18" s="27">
        <f t="shared" si="19"/>
        <v>18698382124.221741</v>
      </c>
      <c r="FV18" s="27">
        <f t="shared" si="19"/>
        <v>18885365945.463959</v>
      </c>
      <c r="FW18" s="27">
        <f t="shared" si="19"/>
        <v>19074219604.918598</v>
      </c>
      <c r="FX18" s="27">
        <f t="shared" si="19"/>
        <v>19264961800.967785</v>
      </c>
      <c r="FY18" s="27">
        <f t="shared" si="19"/>
        <v>19457611418.977463</v>
      </c>
      <c r="FZ18" s="27">
        <f t="shared" si="19"/>
        <v>19652187533.167236</v>
      </c>
      <c r="GA18" s="27">
        <f t="shared" si="19"/>
        <v>19848709408.498909</v>
      </c>
      <c r="GB18" s="27">
        <f t="shared" si="19"/>
        <v>20047196502.583897</v>
      </c>
      <c r="GC18" s="27">
        <f t="shared" si="19"/>
        <v>20247668467.609737</v>
      </c>
      <c r="GD18" s="27">
        <f t="shared" si="19"/>
        <v>20450145152.285835</v>
      </c>
      <c r="GE18" s="27">
        <f t="shared" si="19"/>
        <v>20654646603.808693</v>
      </c>
      <c r="GF18" s="27">
        <f t="shared" si="19"/>
        <v>20861193069.846779</v>
      </c>
      <c r="GG18" s="27">
        <f t="shared" si="19"/>
        <v>21069805000.545246</v>
      </c>
      <c r="GH18" s="27">
        <f t="shared" si="19"/>
        <v>21280503050.550697</v>
      </c>
      <c r="GI18" s="27">
        <f t="shared" si="19"/>
        <v>21493308081.056206</v>
      </c>
      <c r="GJ18" s="27">
        <f t="shared" si="19"/>
        <v>21708241161.866768</v>
      </c>
      <c r="GK18" s="27">
        <f t="shared" si="19"/>
        <v>21925323573.485435</v>
      </c>
      <c r="GL18" s="27">
        <f t="shared" si="19"/>
        <v>22144576809.220291</v>
      </c>
      <c r="GM18" s="27">
        <f t="shared" si="19"/>
        <v>22366022577.312492</v>
      </c>
      <c r="GN18" s="27">
        <f t="shared" si="19"/>
        <v>22589682803.085617</v>
      </c>
      <c r="GO18" s="27">
        <f t="shared" si="19"/>
        <v>22815579631.116474</v>
      </c>
      <c r="GP18" s="27">
        <f t="shared" si="19"/>
        <v>23043735427.427639</v>
      </c>
      <c r="GQ18" s="27">
        <f t="shared" si="19"/>
        <v>23274172781.701916</v>
      </c>
      <c r="GR18" s="27">
        <f t="shared" si="19"/>
        <v>23506914509.518936</v>
      </c>
      <c r="GS18" s="27">
        <f t="shared" si="19"/>
        <v>23741983654.614124</v>
      </c>
      <c r="GT18" s="27">
        <f t="shared" si="19"/>
        <v>23979403491.160267</v>
      </c>
      <c r="GU18" s="27">
        <f t="shared" si="19"/>
        <v>24219197526.071869</v>
      </c>
      <c r="GV18" s="27">
        <f t="shared" si="19"/>
        <v>24461389501.332588</v>
      </c>
      <c r="GW18" s="27">
        <f t="shared" ref="GW18:HD18" si="20">GV18*(1+$N$29)</f>
        <v>24706003396.345913</v>
      </c>
      <c r="GX18" s="27">
        <f t="shared" si="20"/>
        <v>24953063430.309372</v>
      </c>
      <c r="GY18" s="27">
        <f t="shared" si="20"/>
        <v>25202594064.612465</v>
      </c>
      <c r="GZ18" s="27">
        <f t="shared" si="20"/>
        <v>25454620005.258591</v>
      </c>
      <c r="HA18" s="27">
        <f t="shared" si="20"/>
        <v>25709166205.311176</v>
      </c>
      <c r="HB18" s="27">
        <f t="shared" si="20"/>
        <v>25966257867.364288</v>
      </c>
      <c r="HC18" s="27">
        <f t="shared" si="20"/>
        <v>26225920446.037933</v>
      </c>
      <c r="HD18" s="27">
        <f t="shared" si="20"/>
        <v>26488179650.498314</v>
      </c>
      <c r="HE18" s="27">
        <f t="shared" ref="HE18:JP18" si="21">HD18*(1+$N$29)</f>
        <v>26753061447.003296</v>
      </c>
      <c r="HF18" s="27">
        <f t="shared" si="21"/>
        <v>27020592061.473328</v>
      </c>
      <c r="HG18" s="27">
        <f t="shared" si="21"/>
        <v>27290797982.088062</v>
      </c>
      <c r="HH18" s="27">
        <f t="shared" si="21"/>
        <v>27563705961.908943</v>
      </c>
      <c r="HI18" s="27">
        <f t="shared" si="21"/>
        <v>27839343021.528034</v>
      </c>
      <c r="HJ18" s="27">
        <f t="shared" si="21"/>
        <v>28117736451.743317</v>
      </c>
      <c r="HK18" s="27">
        <f t="shared" si="21"/>
        <v>28398913816.26075</v>
      </c>
      <c r="HL18" s="27">
        <f t="shared" si="21"/>
        <v>28682902954.423359</v>
      </c>
      <c r="HM18" s="27">
        <f t="shared" si="21"/>
        <v>28969731983.967594</v>
      </c>
      <c r="HN18" s="27">
        <f t="shared" si="21"/>
        <v>29259429303.80727</v>
      </c>
      <c r="HO18" s="27">
        <f t="shared" si="21"/>
        <v>29552023596.845345</v>
      </c>
      <c r="HP18" s="27">
        <f t="shared" si="21"/>
        <v>29847543832.813797</v>
      </c>
      <c r="HQ18" s="27">
        <f t="shared" si="21"/>
        <v>30146019271.141933</v>
      </c>
      <c r="HR18" s="27">
        <f t="shared" si="21"/>
        <v>30447479463.853352</v>
      </c>
      <c r="HS18" s="27">
        <f t="shared" si="21"/>
        <v>30751954258.491886</v>
      </c>
      <c r="HT18" s="27">
        <f t="shared" si="21"/>
        <v>31059473801.076805</v>
      </c>
      <c r="HU18" s="27">
        <f t="shared" si="21"/>
        <v>31370068539.087574</v>
      </c>
      <c r="HV18" s="27">
        <f t="shared" si="21"/>
        <v>31683769224.478451</v>
      </c>
      <c r="HW18" s="27">
        <f t="shared" si="21"/>
        <v>32000606916.723236</v>
      </c>
      <c r="HX18" s="27">
        <f t="shared" si="21"/>
        <v>32320612985.890469</v>
      </c>
      <c r="HY18" s="27">
        <f t="shared" si="21"/>
        <v>32643819115.749374</v>
      </c>
      <c r="HZ18" s="27">
        <f t="shared" si="21"/>
        <v>32970257306.906868</v>
      </c>
      <c r="IA18" s="27">
        <f t="shared" si="21"/>
        <v>33299959879.975937</v>
      </c>
      <c r="IB18" s="27">
        <f t="shared" si="21"/>
        <v>33632959478.775696</v>
      </c>
      <c r="IC18" s="27">
        <f t="shared" si="21"/>
        <v>33969289073.563454</v>
      </c>
      <c r="ID18" s="27">
        <f t="shared" si="21"/>
        <v>34308981964.299088</v>
      </c>
      <c r="IE18" s="27">
        <f t="shared" si="21"/>
        <v>34652071783.942078</v>
      </c>
      <c r="IF18" s="27">
        <f t="shared" si="21"/>
        <v>34998592501.781502</v>
      </c>
      <c r="IG18" s="27">
        <f t="shared" si="21"/>
        <v>35348578426.799316</v>
      </c>
      <c r="IH18" s="27">
        <f t="shared" si="21"/>
        <v>35702064211.067307</v>
      </c>
      <c r="II18" s="27">
        <f t="shared" si="21"/>
        <v>36059084853.177979</v>
      </c>
      <c r="IJ18" s="27">
        <f t="shared" si="21"/>
        <v>36419675701.709755</v>
      </c>
      <c r="IK18" s="27">
        <f t="shared" si="21"/>
        <v>36783872458.726852</v>
      </c>
      <c r="IL18" s="27">
        <f t="shared" si="21"/>
        <v>37151711183.314125</v>
      </c>
      <c r="IM18" s="27">
        <f t="shared" si="21"/>
        <v>37523228295.14727</v>
      </c>
      <c r="IN18" s="27">
        <f t="shared" si="21"/>
        <v>37898460578.09874</v>
      </c>
      <c r="IO18" s="27">
        <f t="shared" si="21"/>
        <v>38277445183.87973</v>
      </c>
      <c r="IP18" s="27">
        <f t="shared" si="21"/>
        <v>38660219635.718529</v>
      </c>
      <c r="IQ18" s="27">
        <f t="shared" si="21"/>
        <v>39046821832.075714</v>
      </c>
      <c r="IR18" s="27">
        <f t="shared" si="21"/>
        <v>39437290050.396469</v>
      </c>
      <c r="IS18" s="27">
        <f t="shared" si="21"/>
        <v>39831662950.900436</v>
      </c>
      <c r="IT18" s="27">
        <f t="shared" si="21"/>
        <v>40229979580.409439</v>
      </c>
      <c r="IU18" s="27">
        <f t="shared" si="21"/>
        <v>40632279376.213531</v>
      </c>
      <c r="IV18" s="27">
        <f t="shared" si="21"/>
        <v>41038602169.97567</v>
      </c>
      <c r="IW18" s="27">
        <f t="shared" si="21"/>
        <v>41448988191.67543</v>
      </c>
      <c r="IX18" s="27">
        <f t="shared" si="21"/>
        <v>41863478073.592186</v>
      </c>
      <c r="IY18" s="27">
        <f t="shared" si="21"/>
        <v>42282112854.32811</v>
      </c>
      <c r="IZ18" s="27">
        <f t="shared" si="21"/>
        <v>42704933982.871391</v>
      </c>
      <c r="JA18" s="27">
        <f t="shared" si="21"/>
        <v>43131983322.700104</v>
      </c>
      <c r="JB18" s="27">
        <f t="shared" si="21"/>
        <v>43563303155.927109</v>
      </c>
      <c r="JC18" s="27">
        <f t="shared" si="21"/>
        <v>43998936187.486382</v>
      </c>
      <c r="JD18" s="27">
        <f t="shared" si="21"/>
        <v>44438925549.361244</v>
      </c>
      <c r="JE18" s="27">
        <f t="shared" si="21"/>
        <v>44883314804.854858</v>
      </c>
      <c r="JF18" s="27">
        <f t="shared" si="21"/>
        <v>45332147952.903404</v>
      </c>
      <c r="JG18" s="27">
        <f t="shared" si="21"/>
        <v>45785469432.432442</v>
      </c>
      <c r="JH18" s="27">
        <f t="shared" si="21"/>
        <v>46243324126.756767</v>
      </c>
      <c r="JI18" s="27">
        <f t="shared" si="21"/>
        <v>46705757368.024338</v>
      </c>
      <c r="JJ18" s="27">
        <f t="shared" si="21"/>
        <v>47172814941.704582</v>
      </c>
      <c r="JK18" s="27">
        <f t="shared" si="21"/>
        <v>47644543091.121628</v>
      </c>
      <c r="JL18" s="27">
        <f t="shared" si="21"/>
        <v>48120988522.032845</v>
      </c>
      <c r="JM18" s="27">
        <f t="shared" si="21"/>
        <v>48602198407.253174</v>
      </c>
      <c r="JN18" s="27">
        <f t="shared" si="21"/>
        <v>49088220391.325706</v>
      </c>
      <c r="JO18" s="27">
        <f t="shared" si="21"/>
        <v>49579102595.23896</v>
      </c>
      <c r="JP18" s="27">
        <f t="shared" si="21"/>
        <v>50074893621.191353</v>
      </c>
      <c r="JQ18" s="27">
        <f t="shared" ref="JQ18:LI18" si="22">JP18*(1+$N$29)</f>
        <v>50575642557.403267</v>
      </c>
      <c r="JR18" s="27">
        <f t="shared" si="22"/>
        <v>51081398982.977303</v>
      </c>
      <c r="JS18" s="27">
        <f t="shared" si="22"/>
        <v>51592212972.807076</v>
      </c>
      <c r="JT18" s="27">
        <f t="shared" si="22"/>
        <v>52108135102.535149</v>
      </c>
      <c r="JU18" s="27">
        <f t="shared" si="22"/>
        <v>52629216453.560501</v>
      </c>
      <c r="JV18" s="27">
        <f t="shared" si="22"/>
        <v>53155508618.096107</v>
      </c>
      <c r="JW18" s="27">
        <f t="shared" si="22"/>
        <v>53687063704.277069</v>
      </c>
      <c r="JX18" s="27">
        <f t="shared" si="22"/>
        <v>54223934341.319839</v>
      </c>
      <c r="JY18" s="27">
        <f t="shared" si="22"/>
        <v>54766173684.73304</v>
      </c>
      <c r="JZ18" s="27">
        <f t="shared" si="22"/>
        <v>55313835421.580368</v>
      </c>
      <c r="KA18" s="27">
        <f t="shared" si="22"/>
        <v>55866973775.796173</v>
      </c>
      <c r="KB18" s="27">
        <f t="shared" si="22"/>
        <v>56425643513.554138</v>
      </c>
      <c r="KC18" s="27">
        <f t="shared" si="22"/>
        <v>56989899948.689682</v>
      </c>
      <c r="KD18" s="27">
        <f t="shared" si="22"/>
        <v>57559798948.176582</v>
      </c>
      <c r="KE18" s="27">
        <f t="shared" si="22"/>
        <v>58135396937.658348</v>
      </c>
      <c r="KF18" s="27">
        <f t="shared" si="22"/>
        <v>58716750907.034935</v>
      </c>
      <c r="KG18" s="27">
        <f t="shared" si="22"/>
        <v>59303918416.105286</v>
      </c>
      <c r="KH18" s="27">
        <f t="shared" si="22"/>
        <v>59896957600.266342</v>
      </c>
      <c r="KI18" s="27">
        <f t="shared" si="22"/>
        <v>60495927176.269005</v>
      </c>
      <c r="KJ18" s="27">
        <f t="shared" si="22"/>
        <v>61100886448.031693</v>
      </c>
      <c r="KK18" s="27">
        <f t="shared" si="22"/>
        <v>61711895312.512009</v>
      </c>
      <c r="KL18" s="27">
        <f t="shared" si="22"/>
        <v>62329014265.637131</v>
      </c>
      <c r="KM18" s="27">
        <f t="shared" si="22"/>
        <v>62952304408.293503</v>
      </c>
      <c r="KN18" s="27">
        <f t="shared" si="22"/>
        <v>63581827452.376442</v>
      </c>
      <c r="KO18" s="27">
        <f t="shared" si="22"/>
        <v>64217645726.900208</v>
      </c>
      <c r="KP18" s="27">
        <f t="shared" si="22"/>
        <v>64859822184.169212</v>
      </c>
      <c r="KQ18" s="27">
        <f t="shared" si="22"/>
        <v>65508420406.010902</v>
      </c>
      <c r="KR18" s="27">
        <f t="shared" si="22"/>
        <v>66163504610.071014</v>
      </c>
      <c r="KS18" s="27">
        <f t="shared" si="22"/>
        <v>66825139656.171722</v>
      </c>
      <c r="KT18" s="27">
        <f t="shared" si="22"/>
        <v>67493391052.733437</v>
      </c>
      <c r="KU18" s="27">
        <f t="shared" si="22"/>
        <v>68168324963.260773</v>
      </c>
      <c r="KV18" s="27">
        <f t="shared" si="22"/>
        <v>68850008212.893387</v>
      </c>
      <c r="KW18" s="27">
        <f t="shared" si="22"/>
        <v>69538508295.022324</v>
      </c>
      <c r="KX18" s="27">
        <f t="shared" si="22"/>
        <v>70233893377.972549</v>
      </c>
      <c r="KY18" s="27">
        <f t="shared" si="22"/>
        <v>70936232311.752274</v>
      </c>
      <c r="KZ18" s="27">
        <f t="shared" si="22"/>
        <v>71645594634.869797</v>
      </c>
      <c r="LA18" s="27">
        <f t="shared" si="22"/>
        <v>72362050581.218491</v>
      </c>
      <c r="LB18" s="27">
        <f t="shared" si="22"/>
        <v>73085671087.03067</v>
      </c>
      <c r="LC18" s="27">
        <f t="shared" si="22"/>
        <v>73816527797.90097</v>
      </c>
      <c r="LD18" s="27">
        <f t="shared" si="22"/>
        <v>74554693075.879974</v>
      </c>
      <c r="LE18" s="27">
        <f t="shared" si="22"/>
        <v>75300240006.638779</v>
      </c>
      <c r="LF18" s="27">
        <f t="shared" si="22"/>
        <v>76053242406.70517</v>
      </c>
      <c r="LG18" s="27">
        <f t="shared" si="22"/>
        <v>76813774830.772217</v>
      </c>
      <c r="LH18" s="27">
        <f t="shared" si="22"/>
        <v>77581912579.079941</v>
      </c>
      <c r="LI18" s="27">
        <f t="shared" si="22"/>
        <v>78357731704.870743</v>
      </c>
      <c r="LJ18" s="27">
        <f t="shared" ref="LJ18:NQ18" si="23">LI18*(1+$N$29)</f>
        <v>79141309021.919449</v>
      </c>
      <c r="LK18" s="27">
        <f t="shared" si="23"/>
        <v>79932722112.138641</v>
      </c>
      <c r="LL18" s="27">
        <f t="shared" si="23"/>
        <v>80732049333.260025</v>
      </c>
      <c r="LM18" s="27">
        <f t="shared" si="23"/>
        <v>81539369826.592621</v>
      </c>
      <c r="LN18" s="27">
        <f t="shared" si="23"/>
        <v>82354763524.858551</v>
      </c>
      <c r="LO18" s="27">
        <f t="shared" si="23"/>
        <v>83178311160.107132</v>
      </c>
      <c r="LP18" s="27">
        <f t="shared" si="23"/>
        <v>84010094271.708206</v>
      </c>
      <c r="LQ18" s="27">
        <f t="shared" si="23"/>
        <v>84850195214.425293</v>
      </c>
      <c r="LR18" s="27">
        <f t="shared" si="23"/>
        <v>85698697166.56955</v>
      </c>
      <c r="LS18" s="27">
        <f t="shared" si="23"/>
        <v>86555684138.235245</v>
      </c>
      <c r="LT18" s="27">
        <f t="shared" si="23"/>
        <v>87421240979.617599</v>
      </c>
      <c r="LU18" s="27">
        <f t="shared" si="23"/>
        <v>88295453389.413773</v>
      </c>
      <c r="LV18" s="27">
        <f t="shared" si="23"/>
        <v>89178407923.307907</v>
      </c>
      <c r="LW18" s="27">
        <f t="shared" si="23"/>
        <v>90070192002.540985</v>
      </c>
      <c r="LX18" s="27">
        <f t="shared" si="23"/>
        <v>90970893922.566391</v>
      </c>
      <c r="LY18" s="27">
        <f t="shared" si="23"/>
        <v>91880602861.792053</v>
      </c>
      <c r="LZ18" s="27">
        <f t="shared" si="23"/>
        <v>92799408890.409973</v>
      </c>
      <c r="MA18" s="27">
        <f t="shared" si="23"/>
        <v>93727402979.314072</v>
      </c>
      <c r="MB18" s="27">
        <f t="shared" si="23"/>
        <v>94664677009.107208</v>
      </c>
      <c r="MC18" s="27">
        <f t="shared" si="23"/>
        <v>95611323779.198288</v>
      </c>
      <c r="MD18" s="27">
        <f t="shared" si="23"/>
        <v>96567437016.990265</v>
      </c>
      <c r="ME18" s="27">
        <f t="shared" si="23"/>
        <v>97533111387.160172</v>
      </c>
      <c r="MF18" s="27">
        <f t="shared" si="23"/>
        <v>98508442501.031769</v>
      </c>
      <c r="MG18" s="27">
        <f t="shared" si="23"/>
        <v>99493526926.042084</v>
      </c>
      <c r="MH18" s="27">
        <f t="shared" si="23"/>
        <v>100488462195.30251</v>
      </c>
      <c r="MI18" s="27">
        <f t="shared" si="23"/>
        <v>101493346817.25554</v>
      </c>
      <c r="MJ18" s="27">
        <f t="shared" si="23"/>
        <v>102508280285.4281</v>
      </c>
      <c r="MK18" s="27">
        <f t="shared" si="23"/>
        <v>103533363088.28238</v>
      </c>
      <c r="ML18" s="27">
        <f t="shared" si="23"/>
        <v>104568696719.16521</v>
      </c>
      <c r="MM18" s="27">
        <f t="shared" si="23"/>
        <v>105614383686.35686</v>
      </c>
      <c r="MN18" s="27">
        <f t="shared" si="23"/>
        <v>106670527523.22043</v>
      </c>
      <c r="MO18" s="27">
        <f t="shared" si="23"/>
        <v>107737232798.45264</v>
      </c>
      <c r="MP18" s="27">
        <f t="shared" si="23"/>
        <v>108814605126.43716</v>
      </c>
      <c r="MQ18" s="27">
        <f t="shared" si="23"/>
        <v>109902751177.70154</v>
      </c>
      <c r="MR18" s="27">
        <f t="shared" si="23"/>
        <v>111001778689.47856</v>
      </c>
      <c r="MS18" s="27">
        <f t="shared" si="23"/>
        <v>112111796476.37335</v>
      </c>
      <c r="MT18" s="27">
        <f t="shared" si="23"/>
        <v>113232914441.13708</v>
      </c>
      <c r="MU18" s="27">
        <f t="shared" si="23"/>
        <v>114365243585.54846</v>
      </c>
      <c r="MV18" s="27">
        <f t="shared" si="23"/>
        <v>115508896021.40395</v>
      </c>
      <c r="MW18" s="27">
        <f t="shared" si="23"/>
        <v>116663984981.61798</v>
      </c>
      <c r="MX18" s="27">
        <f t="shared" si="23"/>
        <v>117830624831.43416</v>
      </c>
      <c r="MY18" s="27">
        <f t="shared" si="23"/>
        <v>119008931079.7485</v>
      </c>
      <c r="MZ18" s="27">
        <f t="shared" si="23"/>
        <v>120199020390.54599</v>
      </c>
      <c r="NA18" s="27">
        <f t="shared" si="23"/>
        <v>121401010594.45145</v>
      </c>
      <c r="NB18" s="27">
        <f t="shared" si="23"/>
        <v>122615020700.39597</v>
      </c>
      <c r="NC18" s="27">
        <f t="shared" si="23"/>
        <v>123841170907.39993</v>
      </c>
      <c r="ND18" s="27">
        <f t="shared" si="23"/>
        <v>125079582616.47394</v>
      </c>
      <c r="NE18" s="27">
        <f t="shared" si="23"/>
        <v>126330378442.63867</v>
      </c>
      <c r="NF18" s="27">
        <f t="shared" si="23"/>
        <v>127593682227.06506</v>
      </c>
      <c r="NG18" s="27">
        <f t="shared" si="23"/>
        <v>128869619049.33571</v>
      </c>
      <c r="NH18" s="27">
        <f t="shared" si="23"/>
        <v>130158315239.82907</v>
      </c>
      <c r="NI18" s="27">
        <f t="shared" si="23"/>
        <v>131459898392.22736</v>
      </c>
      <c r="NJ18" s="27">
        <f t="shared" si="23"/>
        <v>132774497376.14963</v>
      </c>
      <c r="NK18" s="27">
        <f t="shared" si="23"/>
        <v>134102242349.91112</v>
      </c>
      <c r="NL18" s="27">
        <f t="shared" si="23"/>
        <v>135443264773.41023</v>
      </c>
      <c r="NM18" s="27">
        <f t="shared" si="23"/>
        <v>136797697421.14433</v>
      </c>
      <c r="NN18" s="27">
        <f t="shared" si="23"/>
        <v>138165674395.35577</v>
      </c>
      <c r="NO18" s="27">
        <f t="shared" si="23"/>
        <v>139547331139.30933</v>
      </c>
      <c r="NP18" s="27">
        <f t="shared" si="23"/>
        <v>140942804450.70242</v>
      </c>
      <c r="NQ18" s="28">
        <f t="shared" si="23"/>
        <v>142352232495.20944</v>
      </c>
    </row>
    <row r="19" spans="2:381" x14ac:dyDescent="0.55000000000000004">
      <c r="B19" s="15" t="s">
        <v>15</v>
      </c>
      <c r="C19" s="33">
        <v>-58000000</v>
      </c>
      <c r="D19" s="34">
        <v>19000000</v>
      </c>
      <c r="E19" s="34">
        <v>154000000</v>
      </c>
      <c r="F19" s="34">
        <v>102111370</v>
      </c>
      <c r="G19" s="34">
        <v>-65823955</v>
      </c>
      <c r="H19" s="34">
        <v>23190981</v>
      </c>
      <c r="I19" s="34">
        <v>56385222</v>
      </c>
      <c r="J19" s="34">
        <v>-4993020</v>
      </c>
      <c r="K19" s="34">
        <v>-99922860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</row>
    <row r="20" spans="2:381" x14ac:dyDescent="0.55000000000000004">
      <c r="B20" s="15" t="s">
        <v>16</v>
      </c>
      <c r="C20" s="33">
        <v>3000000</v>
      </c>
      <c r="D20" s="34">
        <v>60000000</v>
      </c>
      <c r="E20" s="34">
        <v>-12000000</v>
      </c>
      <c r="F20" s="34">
        <f>0.25*(F18+F19)</f>
        <v>281526592.5</v>
      </c>
      <c r="G20" s="34">
        <f t="shared" ref="G20:K20" si="24">0.25*(G18+G19)</f>
        <v>387678161.25</v>
      </c>
      <c r="H20" s="34">
        <f t="shared" si="24"/>
        <v>540276758.5</v>
      </c>
      <c r="I20" s="34">
        <f t="shared" si="24"/>
        <v>708339579.94749999</v>
      </c>
      <c r="J20" s="34">
        <f>0.25*(J18+J19)</f>
        <v>788931535.88042498</v>
      </c>
      <c r="K20" s="35">
        <f t="shared" si="24"/>
        <v>871200820.40583801</v>
      </c>
    </row>
    <row r="21" spans="2:381" x14ac:dyDescent="0.55000000000000004">
      <c r="B21" s="30" t="s">
        <v>17</v>
      </c>
      <c r="C21" s="36">
        <f>SUM(C18:C20)</f>
        <v>-1035000000</v>
      </c>
      <c r="D21" s="27">
        <f>SUM(D18:D20)</f>
        <v>-244000000</v>
      </c>
      <c r="E21" s="27">
        <f>SUM(E18:E20)</f>
        <v>21000000</v>
      </c>
      <c r="F21" s="27">
        <f>E21*2.2</f>
        <v>46200000.000000007</v>
      </c>
      <c r="G21" s="27">
        <f t="shared" ref="G21:K21" si="25">F21*2.2</f>
        <v>101640000.00000003</v>
      </c>
      <c r="H21" s="27">
        <f t="shared" si="25"/>
        <v>223608000.00000009</v>
      </c>
      <c r="I21" s="27">
        <f t="shared" si="25"/>
        <v>491937600.00000024</v>
      </c>
      <c r="J21" s="27">
        <f>I21*2.2</f>
        <v>1082262720.0000007</v>
      </c>
      <c r="K21" s="28">
        <f t="shared" si="25"/>
        <v>2380977984.0000019</v>
      </c>
      <c r="L21" s="27">
        <f>K21*(1+$N$29)</f>
        <v>2404787763.8400021</v>
      </c>
      <c r="M21" s="27">
        <f t="shared" ref="M21:BX21" si="26">L21*(1+$N$29)</f>
        <v>2428835641.4784021</v>
      </c>
      <c r="N21" s="27">
        <f t="shared" si="26"/>
        <v>2453123997.8931861</v>
      </c>
      <c r="O21" s="27">
        <f t="shared" si="26"/>
        <v>2477655237.872118</v>
      </c>
      <c r="P21" s="27">
        <f t="shared" si="26"/>
        <v>2502431790.2508392</v>
      </c>
      <c r="Q21" s="27">
        <f t="shared" si="26"/>
        <v>2527456108.1533475</v>
      </c>
      <c r="R21" s="27">
        <f t="shared" si="26"/>
        <v>2552730669.2348809</v>
      </c>
      <c r="S21" s="27">
        <f t="shared" si="26"/>
        <v>2578257975.9272299</v>
      </c>
      <c r="T21" s="27">
        <f t="shared" si="26"/>
        <v>2604040555.686502</v>
      </c>
      <c r="U21" s="27">
        <f t="shared" si="26"/>
        <v>2630080961.2433672</v>
      </c>
      <c r="V21" s="27">
        <f t="shared" si="26"/>
        <v>2656381770.8558011</v>
      </c>
      <c r="W21" s="27">
        <f t="shared" si="26"/>
        <v>2682945588.5643592</v>
      </c>
      <c r="X21" s="27">
        <f t="shared" si="26"/>
        <v>2709775044.4500027</v>
      </c>
      <c r="Y21" s="27">
        <f t="shared" si="26"/>
        <v>2736872794.8945026</v>
      </c>
      <c r="Z21" s="27">
        <f t="shared" si="26"/>
        <v>2764241522.8434477</v>
      </c>
      <c r="AA21" s="27">
        <f t="shared" si="26"/>
        <v>2791883938.0718822</v>
      </c>
      <c r="AB21" s="27">
        <f t="shared" si="26"/>
        <v>2819802777.452601</v>
      </c>
      <c r="AC21" s="27">
        <f t="shared" si="26"/>
        <v>2848000805.2271271</v>
      </c>
      <c r="AD21" s="27">
        <f t="shared" si="26"/>
        <v>2876480813.2793984</v>
      </c>
      <c r="AE21" s="27">
        <f t="shared" si="26"/>
        <v>2905245621.4121923</v>
      </c>
      <c r="AF21" s="27">
        <f t="shared" si="26"/>
        <v>2934298077.6263142</v>
      </c>
      <c r="AG21" s="27">
        <f t="shared" si="26"/>
        <v>2963641058.4025774</v>
      </c>
      <c r="AH21" s="27">
        <f t="shared" si="26"/>
        <v>2993277468.9866033</v>
      </c>
      <c r="AI21" s="27">
        <f t="shared" si="26"/>
        <v>3023210243.6764693</v>
      </c>
      <c r="AJ21" s="27">
        <f t="shared" si="26"/>
        <v>3053442346.113234</v>
      </c>
      <c r="AK21" s="27">
        <f t="shared" si="26"/>
        <v>3083976769.5743666</v>
      </c>
      <c r="AL21" s="27">
        <f t="shared" si="26"/>
        <v>3114816537.2701101</v>
      </c>
      <c r="AM21" s="27">
        <f t="shared" si="26"/>
        <v>3145964702.6428113</v>
      </c>
      <c r="AN21" s="27">
        <f t="shared" si="26"/>
        <v>3177424349.6692395</v>
      </c>
      <c r="AO21" s="27">
        <f t="shared" si="26"/>
        <v>3209198593.1659322</v>
      </c>
      <c r="AP21" s="27">
        <f t="shared" si="26"/>
        <v>3241290579.0975914</v>
      </c>
      <c r="AQ21" s="27">
        <f t="shared" si="26"/>
        <v>3273703484.8885674</v>
      </c>
      <c r="AR21" s="27">
        <f t="shared" si="26"/>
        <v>3306440519.737453</v>
      </c>
      <c r="AS21" s="27">
        <f t="shared" si="26"/>
        <v>3339504924.9348273</v>
      </c>
      <c r="AT21" s="27">
        <f t="shared" si="26"/>
        <v>3372899974.1841755</v>
      </c>
      <c r="AU21" s="27">
        <f t="shared" si="26"/>
        <v>3406628973.9260173</v>
      </c>
      <c r="AV21" s="27">
        <f t="shared" si="26"/>
        <v>3440695263.6652775</v>
      </c>
      <c r="AW21" s="27">
        <f t="shared" si="26"/>
        <v>3475102216.3019304</v>
      </c>
      <c r="AX21" s="27">
        <f t="shared" si="26"/>
        <v>3509853238.4649496</v>
      </c>
      <c r="AY21" s="27">
        <f t="shared" si="26"/>
        <v>3544951770.8495994</v>
      </c>
      <c r="AZ21" s="27">
        <f t="shared" si="26"/>
        <v>3580401288.5580955</v>
      </c>
      <c r="BA21" s="27">
        <f t="shared" si="26"/>
        <v>3616205301.4436765</v>
      </c>
      <c r="BB21" s="27">
        <f t="shared" si="26"/>
        <v>3652367354.4581132</v>
      </c>
      <c r="BC21" s="27">
        <f t="shared" si="26"/>
        <v>3688891028.0026941</v>
      </c>
      <c r="BD21" s="27">
        <f t="shared" si="26"/>
        <v>3725779938.282721</v>
      </c>
      <c r="BE21" s="27">
        <f t="shared" si="26"/>
        <v>3763037737.6655483</v>
      </c>
      <c r="BF21" s="27">
        <f t="shared" si="26"/>
        <v>3800668115.0422039</v>
      </c>
      <c r="BG21" s="27">
        <f t="shared" si="26"/>
        <v>3838674796.192626</v>
      </c>
      <c r="BH21" s="27">
        <f t="shared" si="26"/>
        <v>3877061544.1545525</v>
      </c>
      <c r="BI21" s="27">
        <f t="shared" si="26"/>
        <v>3915832159.5960979</v>
      </c>
      <c r="BJ21" s="27">
        <f t="shared" si="26"/>
        <v>3954990481.192059</v>
      </c>
      <c r="BK21" s="27">
        <f t="shared" si="26"/>
        <v>3994540386.0039797</v>
      </c>
      <c r="BL21" s="27">
        <f t="shared" si="26"/>
        <v>4034485789.8640194</v>
      </c>
      <c r="BM21" s="27">
        <f t="shared" si="26"/>
        <v>4074830647.7626595</v>
      </c>
      <c r="BN21" s="27">
        <f t="shared" si="26"/>
        <v>4115578954.2402864</v>
      </c>
      <c r="BO21" s="27">
        <f t="shared" si="26"/>
        <v>4156734743.7826891</v>
      </c>
      <c r="BP21" s="27">
        <f t="shared" si="26"/>
        <v>4198302091.2205162</v>
      </c>
      <c r="BQ21" s="27">
        <f t="shared" si="26"/>
        <v>4240285112.1327214</v>
      </c>
      <c r="BR21" s="27">
        <f t="shared" si="26"/>
        <v>4282687963.2540488</v>
      </c>
      <c r="BS21" s="27">
        <f t="shared" si="26"/>
        <v>4325514842.8865891</v>
      </c>
      <c r="BT21" s="27">
        <f t="shared" si="26"/>
        <v>4368769991.3154554</v>
      </c>
      <c r="BU21" s="27">
        <f t="shared" si="26"/>
        <v>4412457691.22861</v>
      </c>
      <c r="BV21" s="27">
        <f t="shared" si="26"/>
        <v>4456582268.1408958</v>
      </c>
      <c r="BW21" s="27">
        <f t="shared" si="26"/>
        <v>4501148090.8223047</v>
      </c>
      <c r="BX21" s="27">
        <f t="shared" si="26"/>
        <v>4546159571.7305279</v>
      </c>
      <c r="BY21" s="27">
        <f t="shared" ref="BY21:EJ21" si="27">BX21*(1+$N$29)</f>
        <v>4591621167.4478331</v>
      </c>
      <c r="BZ21" s="27">
        <f t="shared" si="27"/>
        <v>4637537379.1223116</v>
      </c>
      <c r="CA21" s="27">
        <f t="shared" si="27"/>
        <v>4683912752.9135351</v>
      </c>
      <c r="CB21" s="27">
        <f t="shared" si="27"/>
        <v>4730751880.4426708</v>
      </c>
      <c r="CC21" s="27">
        <f t="shared" si="27"/>
        <v>4778059399.247098</v>
      </c>
      <c r="CD21" s="27">
        <f t="shared" si="27"/>
        <v>4825839993.2395687</v>
      </c>
      <c r="CE21" s="27">
        <f t="shared" si="27"/>
        <v>4874098393.1719646</v>
      </c>
      <c r="CF21" s="27">
        <f t="shared" si="27"/>
        <v>4922839377.1036844</v>
      </c>
      <c r="CG21" s="27">
        <f t="shared" si="27"/>
        <v>4972067770.8747215</v>
      </c>
      <c r="CH21" s="27">
        <f t="shared" si="27"/>
        <v>5021788448.5834684</v>
      </c>
      <c r="CI21" s="27">
        <f t="shared" si="27"/>
        <v>5072006333.0693035</v>
      </c>
      <c r="CJ21" s="27">
        <f t="shared" si="27"/>
        <v>5122726396.3999968</v>
      </c>
      <c r="CK21" s="27">
        <f t="shared" si="27"/>
        <v>5173953660.3639965</v>
      </c>
      <c r="CL21" s="27">
        <f t="shared" si="27"/>
        <v>5225693196.9676361</v>
      </c>
      <c r="CM21" s="27">
        <f t="shared" si="27"/>
        <v>5277950128.9373121</v>
      </c>
      <c r="CN21" s="27">
        <f t="shared" si="27"/>
        <v>5330729630.2266855</v>
      </c>
      <c r="CO21" s="27">
        <f t="shared" si="27"/>
        <v>5384036926.5289526</v>
      </c>
      <c r="CP21" s="27">
        <f t="shared" si="27"/>
        <v>5437877295.7942419</v>
      </c>
      <c r="CQ21" s="27">
        <f t="shared" si="27"/>
        <v>5492256068.7521839</v>
      </c>
      <c r="CR21" s="27">
        <f t="shared" si="27"/>
        <v>5547178629.4397058</v>
      </c>
      <c r="CS21" s="27">
        <f t="shared" si="27"/>
        <v>5602650415.7341032</v>
      </c>
      <c r="CT21" s="27">
        <f t="shared" si="27"/>
        <v>5658676919.8914442</v>
      </c>
      <c r="CU21" s="27">
        <f t="shared" si="27"/>
        <v>5715263689.0903587</v>
      </c>
      <c r="CV21" s="27">
        <f t="shared" si="27"/>
        <v>5772416325.9812622</v>
      </c>
      <c r="CW21" s="27">
        <f t="shared" si="27"/>
        <v>5830140489.2410746</v>
      </c>
      <c r="CX21" s="27">
        <f t="shared" si="27"/>
        <v>5888441894.1334858</v>
      </c>
      <c r="CY21" s="27">
        <f t="shared" si="27"/>
        <v>5947326313.0748205</v>
      </c>
      <c r="CZ21" s="27">
        <f t="shared" si="27"/>
        <v>6006799576.2055683</v>
      </c>
      <c r="DA21" s="27">
        <f t="shared" si="27"/>
        <v>6066867571.9676237</v>
      </c>
      <c r="DB21" s="27">
        <f t="shared" si="27"/>
        <v>6127536247.6872997</v>
      </c>
      <c r="DC21" s="27">
        <f t="shared" si="27"/>
        <v>6188811610.1641731</v>
      </c>
      <c r="DD21" s="27">
        <f t="shared" si="27"/>
        <v>6250699726.2658148</v>
      </c>
      <c r="DE21" s="27">
        <f t="shared" si="27"/>
        <v>6313206723.5284729</v>
      </c>
      <c r="DF21" s="27">
        <f t="shared" si="27"/>
        <v>6376338790.7637577</v>
      </c>
      <c r="DG21" s="27">
        <f t="shared" si="27"/>
        <v>6440102178.6713953</v>
      </c>
      <c r="DH21" s="27">
        <f t="shared" si="27"/>
        <v>6504503200.4581089</v>
      </c>
      <c r="DI21" s="27">
        <f t="shared" si="27"/>
        <v>6569548232.4626904</v>
      </c>
      <c r="DJ21" s="27">
        <f t="shared" si="27"/>
        <v>6635243714.7873173</v>
      </c>
      <c r="DK21" s="27">
        <f t="shared" si="27"/>
        <v>6701596151.9351902</v>
      </c>
      <c r="DL21" s="27">
        <f t="shared" si="27"/>
        <v>6768612113.4545422</v>
      </c>
      <c r="DM21" s="27">
        <f t="shared" si="27"/>
        <v>6836298234.5890875</v>
      </c>
      <c r="DN21" s="27">
        <f t="shared" si="27"/>
        <v>6904661216.9349785</v>
      </c>
      <c r="DO21" s="27">
        <f t="shared" si="27"/>
        <v>6973707829.1043282</v>
      </c>
      <c r="DP21" s="27">
        <f t="shared" si="27"/>
        <v>7043444907.3953714</v>
      </c>
      <c r="DQ21" s="27">
        <f t="shared" si="27"/>
        <v>7113879356.4693251</v>
      </c>
      <c r="DR21" s="27">
        <f t="shared" si="27"/>
        <v>7185018150.0340185</v>
      </c>
      <c r="DS21" s="27">
        <f t="shared" si="27"/>
        <v>7256868331.534359</v>
      </c>
      <c r="DT21" s="27">
        <f t="shared" si="27"/>
        <v>7329437014.8497028</v>
      </c>
      <c r="DU21" s="27">
        <f t="shared" si="27"/>
        <v>7402731384.9981995</v>
      </c>
      <c r="DV21" s="27">
        <f t="shared" si="27"/>
        <v>7476758698.8481817</v>
      </c>
      <c r="DW21" s="27">
        <f t="shared" si="27"/>
        <v>7551526285.8366632</v>
      </c>
      <c r="DX21" s="27">
        <f t="shared" si="27"/>
        <v>7627041548.6950302</v>
      </c>
      <c r="DY21" s="27">
        <f t="shared" si="27"/>
        <v>7703311964.1819801</v>
      </c>
      <c r="DZ21" s="27">
        <f t="shared" si="27"/>
        <v>7780345083.8238001</v>
      </c>
      <c r="EA21" s="27">
        <f t="shared" si="27"/>
        <v>7858148534.6620378</v>
      </c>
      <c r="EB21" s="27">
        <f t="shared" si="27"/>
        <v>7936730020.0086584</v>
      </c>
      <c r="EC21" s="27">
        <f t="shared" si="27"/>
        <v>8016097320.208745</v>
      </c>
      <c r="ED21" s="27">
        <f t="shared" si="27"/>
        <v>8096258293.4108324</v>
      </c>
      <c r="EE21" s="27">
        <f t="shared" si="27"/>
        <v>8177220876.3449411</v>
      </c>
      <c r="EF21" s="27">
        <f t="shared" si="27"/>
        <v>8258993085.1083908</v>
      </c>
      <c r="EG21" s="27">
        <f t="shared" si="27"/>
        <v>8341583015.9594746</v>
      </c>
      <c r="EH21" s="27">
        <f t="shared" si="27"/>
        <v>8424998846.1190691</v>
      </c>
      <c r="EI21" s="27">
        <f t="shared" si="27"/>
        <v>8509248834.5802603</v>
      </c>
      <c r="EJ21" s="27">
        <f t="shared" si="27"/>
        <v>8594341322.9260635</v>
      </c>
      <c r="EK21" s="27">
        <f t="shared" ref="EK21:GV21" si="28">EJ21*(1+$N$29)</f>
        <v>8680284736.1553249</v>
      </c>
      <c r="EL21" s="27">
        <f t="shared" si="28"/>
        <v>8767087583.5168781</v>
      </c>
      <c r="EM21" s="27">
        <f t="shared" si="28"/>
        <v>8854758459.352047</v>
      </c>
      <c r="EN21" s="27">
        <f t="shared" si="28"/>
        <v>8943306043.9455681</v>
      </c>
      <c r="EO21" s="27">
        <f t="shared" si="28"/>
        <v>9032739104.3850231</v>
      </c>
      <c r="EP21" s="27">
        <f t="shared" si="28"/>
        <v>9123066495.4288731</v>
      </c>
      <c r="EQ21" s="27">
        <f t="shared" si="28"/>
        <v>9214297160.3831615</v>
      </c>
      <c r="ER21" s="27">
        <f t="shared" si="28"/>
        <v>9306440131.9869938</v>
      </c>
      <c r="ES21" s="27">
        <f t="shared" si="28"/>
        <v>9399504533.3068638</v>
      </c>
      <c r="ET21" s="27">
        <f t="shared" si="28"/>
        <v>9493499578.6399326</v>
      </c>
      <c r="EU21" s="27">
        <f t="shared" si="28"/>
        <v>9588434574.4263325</v>
      </c>
      <c r="EV21" s="27">
        <f t="shared" si="28"/>
        <v>9684318920.1705952</v>
      </c>
      <c r="EW21" s="27">
        <f t="shared" si="28"/>
        <v>9781162109.3723011</v>
      </c>
      <c r="EX21" s="27">
        <f t="shared" si="28"/>
        <v>9878973730.4660244</v>
      </c>
      <c r="EY21" s="27">
        <f t="shared" si="28"/>
        <v>9977763467.7706852</v>
      </c>
      <c r="EZ21" s="27">
        <f t="shared" si="28"/>
        <v>10077541102.448393</v>
      </c>
      <c r="FA21" s="27">
        <f t="shared" si="28"/>
        <v>10178316513.472878</v>
      </c>
      <c r="FB21" s="27">
        <f t="shared" si="28"/>
        <v>10280099678.607607</v>
      </c>
      <c r="FC21" s="27">
        <f t="shared" si="28"/>
        <v>10382900675.393682</v>
      </c>
      <c r="FD21" s="27">
        <f t="shared" si="28"/>
        <v>10486729682.147619</v>
      </c>
      <c r="FE21" s="27">
        <f t="shared" si="28"/>
        <v>10591596978.969095</v>
      </c>
      <c r="FF21" s="27">
        <f t="shared" si="28"/>
        <v>10697512948.758787</v>
      </c>
      <c r="FG21" s="27">
        <f t="shared" si="28"/>
        <v>10804488078.246376</v>
      </c>
      <c r="FH21" s="27">
        <f t="shared" si="28"/>
        <v>10912532959.028839</v>
      </c>
      <c r="FI21" s="27">
        <f t="shared" si="28"/>
        <v>11021658288.619127</v>
      </c>
      <c r="FJ21" s="27">
        <f t="shared" si="28"/>
        <v>11131874871.50532</v>
      </c>
      <c r="FK21" s="27">
        <f t="shared" si="28"/>
        <v>11243193620.220373</v>
      </c>
      <c r="FL21" s="27">
        <f t="shared" si="28"/>
        <v>11355625556.422577</v>
      </c>
      <c r="FM21" s="27">
        <f t="shared" si="28"/>
        <v>11469181811.986803</v>
      </c>
      <c r="FN21" s="27">
        <f t="shared" si="28"/>
        <v>11583873630.10667</v>
      </c>
      <c r="FO21" s="27">
        <f t="shared" si="28"/>
        <v>11699712366.407738</v>
      </c>
      <c r="FP21" s="27">
        <f t="shared" si="28"/>
        <v>11816709490.071815</v>
      </c>
      <c r="FQ21" s="27">
        <f t="shared" si="28"/>
        <v>11934876584.972534</v>
      </c>
      <c r="FR21" s="27">
        <f t="shared" si="28"/>
        <v>12054225350.82226</v>
      </c>
      <c r="FS21" s="27">
        <f t="shared" si="28"/>
        <v>12174767604.330482</v>
      </c>
      <c r="FT21" s="27">
        <f t="shared" si="28"/>
        <v>12296515280.373787</v>
      </c>
      <c r="FU21" s="27">
        <f t="shared" si="28"/>
        <v>12419480433.177525</v>
      </c>
      <c r="FV21" s="27">
        <f t="shared" si="28"/>
        <v>12543675237.5093</v>
      </c>
      <c r="FW21" s="27">
        <f t="shared" si="28"/>
        <v>12669111989.884394</v>
      </c>
      <c r="FX21" s="27">
        <f t="shared" si="28"/>
        <v>12795803109.783237</v>
      </c>
      <c r="FY21" s="27">
        <f t="shared" si="28"/>
        <v>12923761140.881069</v>
      </c>
      <c r="FZ21" s="27">
        <f t="shared" si="28"/>
        <v>13052998752.289881</v>
      </c>
      <c r="GA21" s="27">
        <f t="shared" si="28"/>
        <v>13183528739.81278</v>
      </c>
      <c r="GB21" s="27">
        <f t="shared" si="28"/>
        <v>13315364027.210909</v>
      </c>
      <c r="GC21" s="27">
        <f t="shared" si="28"/>
        <v>13448517667.483019</v>
      </c>
      <c r="GD21" s="27">
        <f t="shared" si="28"/>
        <v>13583002844.157848</v>
      </c>
      <c r="GE21" s="27">
        <f t="shared" si="28"/>
        <v>13718832872.599426</v>
      </c>
      <c r="GF21" s="27">
        <f t="shared" si="28"/>
        <v>13856021201.32542</v>
      </c>
      <c r="GG21" s="27">
        <f t="shared" si="28"/>
        <v>13994581413.338675</v>
      </c>
      <c r="GH21" s="27">
        <f t="shared" si="28"/>
        <v>14134527227.472061</v>
      </c>
      <c r="GI21" s="27">
        <f t="shared" si="28"/>
        <v>14275872499.746782</v>
      </c>
      <c r="GJ21" s="27">
        <f t="shared" si="28"/>
        <v>14418631224.744249</v>
      </c>
      <c r="GK21" s="27">
        <f t="shared" si="28"/>
        <v>14562817536.991692</v>
      </c>
      <c r="GL21" s="27">
        <f t="shared" si="28"/>
        <v>14708445712.361609</v>
      </c>
      <c r="GM21" s="27">
        <f t="shared" si="28"/>
        <v>14855530169.485224</v>
      </c>
      <c r="GN21" s="27">
        <f t="shared" si="28"/>
        <v>15004085471.180077</v>
      </c>
      <c r="GO21" s="27">
        <f t="shared" si="28"/>
        <v>15154126325.891878</v>
      </c>
      <c r="GP21" s="27">
        <f t="shared" si="28"/>
        <v>15305667589.150797</v>
      </c>
      <c r="GQ21" s="27">
        <f t="shared" si="28"/>
        <v>15458724265.042305</v>
      </c>
      <c r="GR21" s="27">
        <f t="shared" si="28"/>
        <v>15613311507.692728</v>
      </c>
      <c r="GS21" s="27">
        <f t="shared" si="28"/>
        <v>15769444622.769655</v>
      </c>
      <c r="GT21" s="27">
        <f t="shared" si="28"/>
        <v>15927139068.997353</v>
      </c>
      <c r="GU21" s="27">
        <f t="shared" si="28"/>
        <v>16086410459.687326</v>
      </c>
      <c r="GV21" s="27">
        <f t="shared" si="28"/>
        <v>16247274564.284201</v>
      </c>
      <c r="GW21" s="27">
        <f t="shared" ref="GW21:HD21" si="29">GV21*(1+$N$29)</f>
        <v>16409747309.927042</v>
      </c>
      <c r="GX21" s="27">
        <f t="shared" si="29"/>
        <v>16573844783.026312</v>
      </c>
      <c r="GY21" s="27">
        <f t="shared" si="29"/>
        <v>16739583230.856575</v>
      </c>
      <c r="GZ21" s="27">
        <f t="shared" si="29"/>
        <v>16906979063.16514</v>
      </c>
      <c r="HA21" s="27">
        <f t="shared" si="29"/>
        <v>17076048853.796791</v>
      </c>
      <c r="HB21" s="27">
        <f t="shared" si="29"/>
        <v>17246809342.334759</v>
      </c>
      <c r="HC21" s="27">
        <f t="shared" si="29"/>
        <v>17419277435.758106</v>
      </c>
      <c r="HD21" s="27">
        <f t="shared" si="29"/>
        <v>17593470210.115688</v>
      </c>
      <c r="HE21" s="27">
        <f t="shared" ref="HE21:JP21" si="30">HD21*(1+$N$29)</f>
        <v>17769404912.216846</v>
      </c>
      <c r="HF21" s="27">
        <f t="shared" si="30"/>
        <v>17947098961.339016</v>
      </c>
      <c r="HG21" s="27">
        <f t="shared" si="30"/>
        <v>18126569950.952408</v>
      </c>
      <c r="HH21" s="27">
        <f t="shared" si="30"/>
        <v>18307835650.461933</v>
      </c>
      <c r="HI21" s="27">
        <f t="shared" si="30"/>
        <v>18490914006.966553</v>
      </c>
      <c r="HJ21" s="27">
        <f t="shared" si="30"/>
        <v>18675823147.036217</v>
      </c>
      <c r="HK21" s="27">
        <f t="shared" si="30"/>
        <v>18862581378.50658</v>
      </c>
      <c r="HL21" s="27">
        <f t="shared" si="30"/>
        <v>19051207192.291645</v>
      </c>
      <c r="HM21" s="27">
        <f t="shared" si="30"/>
        <v>19241719264.214561</v>
      </c>
      <c r="HN21" s="27">
        <f t="shared" si="30"/>
        <v>19434136456.856709</v>
      </c>
      <c r="HO21" s="27">
        <f t="shared" si="30"/>
        <v>19628477821.425274</v>
      </c>
      <c r="HP21" s="27">
        <f t="shared" si="30"/>
        <v>19824762599.639526</v>
      </c>
      <c r="HQ21" s="27">
        <f t="shared" si="30"/>
        <v>20023010225.635921</v>
      </c>
      <c r="HR21" s="27">
        <f t="shared" si="30"/>
        <v>20223240327.892281</v>
      </c>
      <c r="HS21" s="27">
        <f t="shared" si="30"/>
        <v>20425472731.171204</v>
      </c>
      <c r="HT21" s="27">
        <f t="shared" si="30"/>
        <v>20629727458.482914</v>
      </c>
      <c r="HU21" s="27">
        <f t="shared" si="30"/>
        <v>20836024733.067741</v>
      </c>
      <c r="HV21" s="27">
        <f t="shared" si="30"/>
        <v>21044384980.398418</v>
      </c>
      <c r="HW21" s="27">
        <f t="shared" si="30"/>
        <v>21254828830.202404</v>
      </c>
      <c r="HX21" s="27">
        <f t="shared" si="30"/>
        <v>21467377118.504429</v>
      </c>
      <c r="HY21" s="27">
        <f t="shared" si="30"/>
        <v>21682050889.689472</v>
      </c>
      <c r="HZ21" s="27">
        <f t="shared" si="30"/>
        <v>21898871398.586369</v>
      </c>
      <c r="IA21" s="27">
        <f t="shared" si="30"/>
        <v>22117860112.572231</v>
      </c>
      <c r="IB21" s="27">
        <f t="shared" si="30"/>
        <v>22339038713.697952</v>
      </c>
      <c r="IC21" s="27">
        <f t="shared" si="30"/>
        <v>22562429100.83493</v>
      </c>
      <c r="ID21" s="27">
        <f t="shared" si="30"/>
        <v>22788053391.843281</v>
      </c>
      <c r="IE21" s="27">
        <f t="shared" si="30"/>
        <v>23015933925.761715</v>
      </c>
      <c r="IF21" s="27">
        <f t="shared" si="30"/>
        <v>23246093265.019333</v>
      </c>
      <c r="IG21" s="27">
        <f t="shared" si="30"/>
        <v>23478554197.669525</v>
      </c>
      <c r="IH21" s="27">
        <f t="shared" si="30"/>
        <v>23713339739.646221</v>
      </c>
      <c r="II21" s="27">
        <f t="shared" si="30"/>
        <v>23950473137.042683</v>
      </c>
      <c r="IJ21" s="27">
        <f t="shared" si="30"/>
        <v>24189977868.413109</v>
      </c>
      <c r="IK21" s="27">
        <f t="shared" si="30"/>
        <v>24431877647.09724</v>
      </c>
      <c r="IL21" s="27">
        <f t="shared" si="30"/>
        <v>24676196423.568214</v>
      </c>
      <c r="IM21" s="27">
        <f t="shared" si="30"/>
        <v>24922958387.803898</v>
      </c>
      <c r="IN21" s="27">
        <f t="shared" si="30"/>
        <v>25172187971.681938</v>
      </c>
      <c r="IO21" s="27">
        <f t="shared" si="30"/>
        <v>25423909851.398758</v>
      </c>
      <c r="IP21" s="27">
        <f t="shared" si="30"/>
        <v>25678148949.912746</v>
      </c>
      <c r="IQ21" s="27">
        <f t="shared" si="30"/>
        <v>25934930439.411873</v>
      </c>
      <c r="IR21" s="27">
        <f t="shared" si="30"/>
        <v>26194279743.805992</v>
      </c>
      <c r="IS21" s="27">
        <f t="shared" si="30"/>
        <v>26456222541.244053</v>
      </c>
      <c r="IT21" s="27">
        <f t="shared" si="30"/>
        <v>26720784766.656494</v>
      </c>
      <c r="IU21" s="27">
        <f t="shared" si="30"/>
        <v>26987992614.323059</v>
      </c>
      <c r="IV21" s="27">
        <f t="shared" si="30"/>
        <v>27257872540.46629</v>
      </c>
      <c r="IW21" s="27">
        <f t="shared" si="30"/>
        <v>27530451265.870953</v>
      </c>
      <c r="IX21" s="27">
        <f t="shared" si="30"/>
        <v>27805755778.529663</v>
      </c>
      <c r="IY21" s="27">
        <f t="shared" si="30"/>
        <v>28083813336.31496</v>
      </c>
      <c r="IZ21" s="27">
        <f t="shared" si="30"/>
        <v>28364651469.678112</v>
      </c>
      <c r="JA21" s="27">
        <f t="shared" si="30"/>
        <v>28648297984.374893</v>
      </c>
      <c r="JB21" s="27">
        <f t="shared" si="30"/>
        <v>28934780964.218643</v>
      </c>
      <c r="JC21" s="27">
        <f t="shared" si="30"/>
        <v>29224128773.860828</v>
      </c>
      <c r="JD21" s="27">
        <f t="shared" si="30"/>
        <v>29516370061.599438</v>
      </c>
      <c r="JE21" s="27">
        <f t="shared" si="30"/>
        <v>29811533762.215431</v>
      </c>
      <c r="JF21" s="27">
        <f t="shared" si="30"/>
        <v>30109649099.837585</v>
      </c>
      <c r="JG21" s="27">
        <f t="shared" si="30"/>
        <v>30410745590.83596</v>
      </c>
      <c r="JH21" s="27">
        <f t="shared" si="30"/>
        <v>30714853046.74432</v>
      </c>
      <c r="JI21" s="27">
        <f t="shared" si="30"/>
        <v>31022001577.211765</v>
      </c>
      <c r="JJ21" s="27">
        <f t="shared" si="30"/>
        <v>31332221592.983883</v>
      </c>
      <c r="JK21" s="27">
        <f t="shared" si="30"/>
        <v>31645543808.913723</v>
      </c>
      <c r="JL21" s="27">
        <f t="shared" si="30"/>
        <v>31961999247.002861</v>
      </c>
      <c r="JM21" s="27">
        <f t="shared" si="30"/>
        <v>32281619239.472889</v>
      </c>
      <c r="JN21" s="27">
        <f t="shared" si="30"/>
        <v>32604435431.867619</v>
      </c>
      <c r="JO21" s="27">
        <f t="shared" si="30"/>
        <v>32930479786.186295</v>
      </c>
      <c r="JP21" s="27">
        <f t="shared" si="30"/>
        <v>33259784584.048157</v>
      </c>
      <c r="JQ21" s="27">
        <f t="shared" ref="JQ21:LI21" si="31">JP21*(1+$N$29)</f>
        <v>33592382429.888638</v>
      </c>
      <c r="JR21" s="27">
        <f t="shared" si="31"/>
        <v>33928306254.187523</v>
      </c>
      <c r="JS21" s="27">
        <f t="shared" si="31"/>
        <v>34267589316.729397</v>
      </c>
      <c r="JT21" s="27">
        <f t="shared" si="31"/>
        <v>34610265209.89669</v>
      </c>
      <c r="JU21" s="27">
        <f t="shared" si="31"/>
        <v>34956367861.995659</v>
      </c>
      <c r="JV21" s="27">
        <f t="shared" si="31"/>
        <v>35305931540.615616</v>
      </c>
      <c r="JW21" s="27">
        <f t="shared" si="31"/>
        <v>35658990856.021774</v>
      </c>
      <c r="JX21" s="27">
        <f t="shared" si="31"/>
        <v>36015580764.581993</v>
      </c>
      <c r="JY21" s="27">
        <f t="shared" si="31"/>
        <v>36375736572.227814</v>
      </c>
      <c r="JZ21" s="27">
        <f t="shared" si="31"/>
        <v>36739493937.950089</v>
      </c>
      <c r="KA21" s="27">
        <f t="shared" si="31"/>
        <v>37106888877.32959</v>
      </c>
      <c r="KB21" s="27">
        <f t="shared" si="31"/>
        <v>37477957766.102882</v>
      </c>
      <c r="KC21" s="27">
        <f t="shared" si="31"/>
        <v>37852737343.763908</v>
      </c>
      <c r="KD21" s="27">
        <f t="shared" si="31"/>
        <v>38231264717.201546</v>
      </c>
      <c r="KE21" s="27">
        <f t="shared" si="31"/>
        <v>38613577364.373558</v>
      </c>
      <c r="KF21" s="27">
        <f t="shared" si="31"/>
        <v>38999713138.017296</v>
      </c>
      <c r="KG21" s="27">
        <f t="shared" si="31"/>
        <v>39389710269.397469</v>
      </c>
      <c r="KH21" s="27">
        <f t="shared" si="31"/>
        <v>39783607372.091446</v>
      </c>
      <c r="KI21" s="27">
        <f t="shared" si="31"/>
        <v>40181443445.812363</v>
      </c>
      <c r="KJ21" s="27">
        <f t="shared" si="31"/>
        <v>40583257880.270485</v>
      </c>
      <c r="KK21" s="27">
        <f t="shared" si="31"/>
        <v>40989090459.073189</v>
      </c>
      <c r="KL21" s="27">
        <f t="shared" si="31"/>
        <v>41398981363.663918</v>
      </c>
      <c r="KM21" s="27">
        <f t="shared" si="31"/>
        <v>41812971177.30056</v>
      </c>
      <c r="KN21" s="27">
        <f t="shared" si="31"/>
        <v>42231100889.073563</v>
      </c>
      <c r="KO21" s="27">
        <f t="shared" si="31"/>
        <v>42653411897.964302</v>
      </c>
      <c r="KP21" s="27">
        <f t="shared" si="31"/>
        <v>43079946016.943947</v>
      </c>
      <c r="KQ21" s="27">
        <f t="shared" si="31"/>
        <v>43510745477.113388</v>
      </c>
      <c r="KR21" s="27">
        <f t="shared" si="31"/>
        <v>43945852931.884521</v>
      </c>
      <c r="KS21" s="27">
        <f t="shared" si="31"/>
        <v>44385311461.203369</v>
      </c>
      <c r="KT21" s="27">
        <f t="shared" si="31"/>
        <v>44829164575.815407</v>
      </c>
      <c r="KU21" s="27">
        <f t="shared" si="31"/>
        <v>45277456221.573563</v>
      </c>
      <c r="KV21" s="27">
        <f t="shared" si="31"/>
        <v>45730230783.789299</v>
      </c>
      <c r="KW21" s="27">
        <f t="shared" si="31"/>
        <v>46187533091.62719</v>
      </c>
      <c r="KX21" s="27">
        <f t="shared" si="31"/>
        <v>46649408422.543465</v>
      </c>
      <c r="KY21" s="27">
        <f t="shared" si="31"/>
        <v>47115902506.768898</v>
      </c>
      <c r="KZ21" s="27">
        <f t="shared" si="31"/>
        <v>47587061531.836586</v>
      </c>
      <c r="LA21" s="27">
        <f t="shared" si="31"/>
        <v>48062932147.154953</v>
      </c>
      <c r="LB21" s="27">
        <f t="shared" si="31"/>
        <v>48543561468.626503</v>
      </c>
      <c r="LC21" s="27">
        <f t="shared" si="31"/>
        <v>49028997083.312767</v>
      </c>
      <c r="LD21" s="27">
        <f t="shared" si="31"/>
        <v>49519287054.145897</v>
      </c>
      <c r="LE21" s="27">
        <f t="shared" si="31"/>
        <v>50014479924.687355</v>
      </c>
      <c r="LF21" s="27">
        <f t="shared" si="31"/>
        <v>50514624723.934227</v>
      </c>
      <c r="LG21" s="27">
        <f t="shared" si="31"/>
        <v>51019770971.173569</v>
      </c>
      <c r="LH21" s="27">
        <f t="shared" si="31"/>
        <v>51529968680.885307</v>
      </c>
      <c r="LI21" s="27">
        <f t="shared" si="31"/>
        <v>52045268367.69416</v>
      </c>
      <c r="LJ21" s="27">
        <f t="shared" ref="LJ21:NQ21" si="32">LI21*(1+$N$29)</f>
        <v>52565721051.371101</v>
      </c>
      <c r="LK21" s="27">
        <f t="shared" si="32"/>
        <v>53091378261.884811</v>
      </c>
      <c r="LL21" s="27">
        <f t="shared" si="32"/>
        <v>53622292044.503662</v>
      </c>
      <c r="LM21" s="27">
        <f t="shared" si="32"/>
        <v>54158514964.9487</v>
      </c>
      <c r="LN21" s="27">
        <f t="shared" si="32"/>
        <v>54700100114.59819</v>
      </c>
      <c r="LO21" s="27">
        <f t="shared" si="32"/>
        <v>55247101115.744171</v>
      </c>
      <c r="LP21" s="27">
        <f t="shared" si="32"/>
        <v>55799572126.901611</v>
      </c>
      <c r="LQ21" s="27">
        <f t="shared" si="32"/>
        <v>56357567848.170631</v>
      </c>
      <c r="LR21" s="27">
        <f t="shared" si="32"/>
        <v>56921143526.652336</v>
      </c>
      <c r="LS21" s="27">
        <f t="shared" si="32"/>
        <v>57490354961.918861</v>
      </c>
      <c r="LT21" s="27">
        <f t="shared" si="32"/>
        <v>58065258511.538048</v>
      </c>
      <c r="LU21" s="27">
        <f t="shared" si="32"/>
        <v>58645911096.653427</v>
      </c>
      <c r="LV21" s="27">
        <f t="shared" si="32"/>
        <v>59232370207.619965</v>
      </c>
      <c r="LW21" s="27">
        <f t="shared" si="32"/>
        <v>59824693909.696167</v>
      </c>
      <c r="LX21" s="27">
        <f t="shared" si="32"/>
        <v>60422940848.793129</v>
      </c>
      <c r="LY21" s="27">
        <f t="shared" si="32"/>
        <v>61027170257.281059</v>
      </c>
      <c r="LZ21" s="27">
        <f t="shared" si="32"/>
        <v>61637441959.853874</v>
      </c>
      <c r="MA21" s="27">
        <f t="shared" si="32"/>
        <v>62253816379.452415</v>
      </c>
      <c r="MB21" s="27">
        <f t="shared" si="32"/>
        <v>62876354543.246941</v>
      </c>
      <c r="MC21" s="27">
        <f t="shared" si="32"/>
        <v>63505118088.679413</v>
      </c>
      <c r="MD21" s="27">
        <f t="shared" si="32"/>
        <v>64140169269.566208</v>
      </c>
      <c r="ME21" s="27">
        <f t="shared" si="32"/>
        <v>64781570962.261871</v>
      </c>
      <c r="MF21" s="27">
        <f t="shared" si="32"/>
        <v>65429386671.884491</v>
      </c>
      <c r="MG21" s="27">
        <f t="shared" si="32"/>
        <v>66083680538.60334</v>
      </c>
      <c r="MH21" s="27">
        <f t="shared" si="32"/>
        <v>66744517343.989372</v>
      </c>
      <c r="MI21" s="27">
        <f t="shared" si="32"/>
        <v>67411962517.429268</v>
      </c>
      <c r="MJ21" s="27">
        <f t="shared" si="32"/>
        <v>68086082142.603561</v>
      </c>
      <c r="MK21" s="27">
        <f t="shared" si="32"/>
        <v>68766942964.029602</v>
      </c>
      <c r="ML21" s="27">
        <f t="shared" si="32"/>
        <v>69454612393.669891</v>
      </c>
      <c r="MM21" s="27">
        <f t="shared" si="32"/>
        <v>70149158517.606598</v>
      </c>
      <c r="MN21" s="27">
        <f t="shared" si="32"/>
        <v>70850650102.782669</v>
      </c>
      <c r="MO21" s="27">
        <f t="shared" si="32"/>
        <v>71559156603.810501</v>
      </c>
      <c r="MP21" s="27">
        <f t="shared" si="32"/>
        <v>72274748169.848602</v>
      </c>
      <c r="MQ21" s="27">
        <f t="shared" si="32"/>
        <v>72997495651.547089</v>
      </c>
      <c r="MR21" s="27">
        <f t="shared" si="32"/>
        <v>73727470608.062561</v>
      </c>
      <c r="MS21" s="27">
        <f t="shared" si="32"/>
        <v>74464745314.143188</v>
      </c>
      <c r="MT21" s="27">
        <f t="shared" si="32"/>
        <v>75209392767.284622</v>
      </c>
      <c r="MU21" s="27">
        <f t="shared" si="32"/>
        <v>75961486694.957474</v>
      </c>
      <c r="MV21" s="27">
        <f t="shared" si="32"/>
        <v>76721101561.907043</v>
      </c>
      <c r="MW21" s="27">
        <f t="shared" si="32"/>
        <v>77488312577.526108</v>
      </c>
      <c r="MX21" s="27">
        <f t="shared" si="32"/>
        <v>78263195703.301376</v>
      </c>
      <c r="MY21" s="27">
        <f t="shared" si="32"/>
        <v>79045827660.334396</v>
      </c>
      <c r="MZ21" s="27">
        <f t="shared" si="32"/>
        <v>79836285936.937744</v>
      </c>
      <c r="NA21" s="27">
        <f t="shared" si="32"/>
        <v>80634648796.307129</v>
      </c>
      <c r="NB21" s="27">
        <f t="shared" si="32"/>
        <v>81440995284.270203</v>
      </c>
      <c r="NC21" s="27">
        <f t="shared" si="32"/>
        <v>82255405237.1129</v>
      </c>
      <c r="ND21" s="27">
        <f t="shared" si="32"/>
        <v>83077959289.484024</v>
      </c>
      <c r="NE21" s="27">
        <f t="shared" si="32"/>
        <v>83908738882.37886</v>
      </c>
      <c r="NF21" s="27">
        <f t="shared" si="32"/>
        <v>84747826271.202652</v>
      </c>
      <c r="NG21" s="27">
        <f t="shared" si="32"/>
        <v>85595304533.914673</v>
      </c>
      <c r="NH21" s="27">
        <f t="shared" si="32"/>
        <v>86451257579.253815</v>
      </c>
      <c r="NI21" s="27">
        <f t="shared" si="32"/>
        <v>87315770155.046356</v>
      </c>
      <c r="NJ21" s="27">
        <f t="shared" si="32"/>
        <v>88188927856.596817</v>
      </c>
      <c r="NK21" s="27">
        <f t="shared" si="32"/>
        <v>89070817135.162781</v>
      </c>
      <c r="NL21" s="27">
        <f t="shared" si="32"/>
        <v>89961525306.514404</v>
      </c>
      <c r="NM21" s="27">
        <f t="shared" si="32"/>
        <v>90861140559.579544</v>
      </c>
      <c r="NN21" s="27">
        <f t="shared" si="32"/>
        <v>91769751965.175339</v>
      </c>
      <c r="NO21" s="27">
        <f t="shared" si="32"/>
        <v>92687449484.827087</v>
      </c>
      <c r="NP21" s="27">
        <f t="shared" si="32"/>
        <v>93614323979.675354</v>
      </c>
      <c r="NQ21" s="28">
        <f t="shared" si="32"/>
        <v>94550467219.472107</v>
      </c>
    </row>
    <row r="23" spans="2:381" x14ac:dyDescent="0.55000000000000004">
      <c r="C23" s="2"/>
      <c r="D23" s="2"/>
      <c r="E23" s="2"/>
    </row>
    <row r="28" spans="2:381" x14ac:dyDescent="0.55000000000000004">
      <c r="B28" t="s">
        <v>19</v>
      </c>
    </row>
    <row r="29" spans="2:381" x14ac:dyDescent="0.55000000000000004">
      <c r="B29" t="s">
        <v>20</v>
      </c>
      <c r="C29" s="3">
        <f>C18/C7</f>
        <v>-0.51470588235294112</v>
      </c>
      <c r="D29" s="3">
        <f t="shared" ref="D29:E29" si="33">D18/D7</f>
        <v>-0.14191564147627417</v>
      </c>
      <c r="E29" s="3">
        <f t="shared" si="33"/>
        <v>-4.3045179651369621E-2</v>
      </c>
      <c r="M29" s="6" t="s">
        <v>23</v>
      </c>
      <c r="N29" s="20">
        <v>0.01</v>
      </c>
    </row>
    <row r="30" spans="2:381" x14ac:dyDescent="0.55000000000000004">
      <c r="B30" t="s">
        <v>21</v>
      </c>
      <c r="C30" s="3">
        <f>C21/C7</f>
        <v>-0.54359243697478987</v>
      </c>
      <c r="D30" s="3">
        <f t="shared" ref="D30:E30" si="34">D21/D7</f>
        <v>-0.10720562390158173</v>
      </c>
      <c r="E30" s="3">
        <f t="shared" si="34"/>
        <v>7.470651013874066E-3</v>
      </c>
      <c r="M30" s="8" t="s">
        <v>24</v>
      </c>
      <c r="N30" s="21">
        <v>0.15</v>
      </c>
    </row>
    <row r="31" spans="2:381" x14ac:dyDescent="0.55000000000000004">
      <c r="M31" s="8" t="s">
        <v>25</v>
      </c>
      <c r="N31" s="10">
        <f>NPV(N30,L21:NQ21)</f>
        <v>17177055456.000013</v>
      </c>
    </row>
    <row r="32" spans="2:381" x14ac:dyDescent="0.55000000000000004">
      <c r="M32" s="8" t="s">
        <v>27</v>
      </c>
      <c r="N32" s="22">
        <v>372255045</v>
      </c>
    </row>
    <row r="33" spans="2:14" x14ac:dyDescent="0.55000000000000004">
      <c r="B33" t="s">
        <v>22</v>
      </c>
      <c r="C33" s="25" t="s">
        <v>18</v>
      </c>
      <c r="D33" s="25" t="s">
        <v>18</v>
      </c>
      <c r="E33" s="25" t="s">
        <v>18</v>
      </c>
      <c r="F33" s="25" t="s">
        <v>18</v>
      </c>
      <c r="G33" s="25" t="s">
        <v>18</v>
      </c>
      <c r="H33" s="25" t="s">
        <v>18</v>
      </c>
      <c r="I33" s="25" t="s">
        <v>18</v>
      </c>
      <c r="J33" s="25" t="s">
        <v>18</v>
      </c>
      <c r="K33" s="25" t="s">
        <v>18</v>
      </c>
      <c r="M33" s="8" t="s">
        <v>34</v>
      </c>
      <c r="N33" s="9">
        <f>EV!C4</f>
        <v>48.82</v>
      </c>
    </row>
    <row r="34" spans="2:14" x14ac:dyDescent="0.55000000000000004">
      <c r="C34" s="26">
        <v>2022</v>
      </c>
      <c r="D34" s="26">
        <f>C34+1</f>
        <v>2023</v>
      </c>
      <c r="E34" s="26">
        <f>D34+1</f>
        <v>2024</v>
      </c>
      <c r="F34" s="26">
        <f t="shared" ref="F34:K34" si="35">E34+1</f>
        <v>2025</v>
      </c>
      <c r="G34" s="26">
        <f t="shared" si="35"/>
        <v>2026</v>
      </c>
      <c r="H34" s="26">
        <f t="shared" si="35"/>
        <v>2027</v>
      </c>
      <c r="I34" s="26">
        <f t="shared" si="35"/>
        <v>2028</v>
      </c>
      <c r="J34" s="26">
        <f t="shared" si="35"/>
        <v>2029</v>
      </c>
      <c r="K34" s="26">
        <f t="shared" si="35"/>
        <v>2030</v>
      </c>
      <c r="M34" s="8" t="s">
        <v>26</v>
      </c>
      <c r="N34" s="9">
        <f>N31/N32</f>
        <v>46.143244226549065</v>
      </c>
    </row>
    <row r="35" spans="2:14" x14ac:dyDescent="0.55000000000000004">
      <c r="B35" s="29" t="s">
        <v>3</v>
      </c>
      <c r="C35" s="17"/>
      <c r="D35" s="31"/>
      <c r="E35" s="31"/>
      <c r="F35" s="31"/>
      <c r="G35" s="31"/>
      <c r="H35" s="31"/>
      <c r="I35" s="31"/>
      <c r="J35" s="31"/>
      <c r="K35" s="32"/>
      <c r="M35" s="23" t="s">
        <v>35</v>
      </c>
      <c r="N35" s="24">
        <f>N33-N34</f>
        <v>2.6767557734509353</v>
      </c>
    </row>
    <row r="36" spans="2:14" x14ac:dyDescent="0.55000000000000004">
      <c r="B36" s="15" t="s">
        <v>0</v>
      </c>
      <c r="C36" s="33"/>
      <c r="D36" s="49">
        <f>(D5/C5)-1</f>
        <v>0.20435967302452318</v>
      </c>
      <c r="E36" s="49">
        <f>(E5/D5)-1</f>
        <v>0.20814479638009042</v>
      </c>
      <c r="F36" s="49">
        <f t="shared" ref="F36:K36" si="36">(F5/E5)-1</f>
        <v>0.30000000000000004</v>
      </c>
      <c r="G36" s="49">
        <f t="shared" si="36"/>
        <v>0.30000000000000004</v>
      </c>
      <c r="H36" s="49">
        <f t="shared" si="36"/>
        <v>0.19999999999999996</v>
      </c>
      <c r="I36" s="49">
        <f t="shared" si="36"/>
        <v>0.19999999999999996</v>
      </c>
      <c r="J36" s="49">
        <f t="shared" si="36"/>
        <v>0.10000000000000009</v>
      </c>
      <c r="K36" s="19">
        <f t="shared" si="36"/>
        <v>0.10000000000000009</v>
      </c>
    </row>
    <row r="37" spans="2:14" x14ac:dyDescent="0.55000000000000004">
      <c r="B37" s="15" t="s">
        <v>1</v>
      </c>
      <c r="C37" s="33"/>
      <c r="D37" s="49">
        <f t="shared" ref="D37:E37" si="37">(D6/C6)-1</f>
        <v>0.16513761467889898</v>
      </c>
      <c r="E37" s="49">
        <f t="shared" si="37"/>
        <v>0.32874015748031504</v>
      </c>
      <c r="F37" s="49">
        <f t="shared" ref="F37:K37" si="38">(F6/E6)-1</f>
        <v>0.30000000000000004</v>
      </c>
      <c r="G37" s="49">
        <f t="shared" si="38"/>
        <v>0.30000000000000004</v>
      </c>
      <c r="H37" s="49">
        <f t="shared" si="38"/>
        <v>0.19999999999999996</v>
      </c>
      <c r="I37" s="49">
        <f t="shared" si="38"/>
        <v>0.19999999999999996</v>
      </c>
      <c r="J37" s="49">
        <f t="shared" si="38"/>
        <v>0.10000000000000009</v>
      </c>
      <c r="K37" s="19">
        <f t="shared" si="38"/>
        <v>0.10000000000000009</v>
      </c>
    </row>
    <row r="38" spans="2:14" x14ac:dyDescent="0.55000000000000004">
      <c r="B38" s="45" t="s">
        <v>2</v>
      </c>
      <c r="C38" s="46"/>
      <c r="D38" s="50">
        <f t="shared" ref="D38:E38" si="39">(D7/C7)-1</f>
        <v>0.19537815126050417</v>
      </c>
      <c r="E38" s="50">
        <f t="shared" si="39"/>
        <v>0.23506151142355014</v>
      </c>
      <c r="F38" s="50">
        <f t="shared" ref="F38:K38" si="40">(F7/E7)-1</f>
        <v>0.30000000000000004</v>
      </c>
      <c r="G38" s="50">
        <f t="shared" si="40"/>
        <v>0.30000000000000004</v>
      </c>
      <c r="H38" s="50">
        <f t="shared" si="40"/>
        <v>0.19999999999999996</v>
      </c>
      <c r="I38" s="50">
        <f t="shared" si="40"/>
        <v>0.19999999999999996</v>
      </c>
      <c r="J38" s="50">
        <f t="shared" si="40"/>
        <v>0.10000000000000009</v>
      </c>
      <c r="K38" s="51">
        <f t="shared" si="40"/>
        <v>0.10000000000000031</v>
      </c>
    </row>
    <row r="39" spans="2:14" x14ac:dyDescent="0.55000000000000004">
      <c r="B39" s="29" t="s">
        <v>4</v>
      </c>
      <c r="C39" s="37"/>
      <c r="D39" s="52"/>
      <c r="E39" s="52"/>
      <c r="F39" s="52"/>
      <c r="G39" s="52"/>
      <c r="H39" s="52"/>
      <c r="I39" s="52"/>
      <c r="J39" s="52"/>
      <c r="K39" s="18"/>
    </row>
    <row r="40" spans="2:14" x14ac:dyDescent="0.55000000000000004">
      <c r="B40" s="15" t="s">
        <v>5</v>
      </c>
      <c r="C40" s="33"/>
      <c r="D40" s="49">
        <f t="shared" ref="D40:E40" si="41">(D9/C9)-1</f>
        <v>4.0384615384615463E-2</v>
      </c>
      <c r="E40" s="49">
        <f t="shared" si="41"/>
        <v>0.1016635859519408</v>
      </c>
      <c r="F40" s="49">
        <f t="shared" ref="F40:K40" si="42">(F9/E9)-1</f>
        <v>0.16476510067114103</v>
      </c>
      <c r="G40" s="49">
        <f t="shared" si="42"/>
        <v>0.30000000000000004</v>
      </c>
      <c r="H40" s="49">
        <f t="shared" si="42"/>
        <v>0.19999999999999996</v>
      </c>
      <c r="I40" s="49">
        <f t="shared" si="42"/>
        <v>0.19999999999999996</v>
      </c>
      <c r="J40" s="49">
        <f t="shared" si="42"/>
        <v>0.10000000000000009</v>
      </c>
      <c r="K40" s="19">
        <f t="shared" si="42"/>
        <v>0.10000000000000009</v>
      </c>
    </row>
    <row r="41" spans="2:14" x14ac:dyDescent="0.55000000000000004">
      <c r="B41" s="15" t="s">
        <v>6</v>
      </c>
      <c r="C41" s="33"/>
      <c r="D41" s="49">
        <f t="shared" ref="D41:E41" si="43">(D10/C10)-1</f>
        <v>-0.35818181818181816</v>
      </c>
      <c r="E41" s="49">
        <f t="shared" si="43"/>
        <v>0.40226628895184136</v>
      </c>
      <c r="F41" s="49">
        <f t="shared" ref="F41:K41" si="44">(F10/E10)-1</f>
        <v>0.10736363636363633</v>
      </c>
      <c r="G41" s="49">
        <f t="shared" si="44"/>
        <v>0.30000000000000004</v>
      </c>
      <c r="H41" s="49">
        <f t="shared" si="44"/>
        <v>0.19999999999999996</v>
      </c>
      <c r="I41" s="49">
        <f t="shared" si="44"/>
        <v>0.19999999999999996</v>
      </c>
      <c r="J41" s="49">
        <f t="shared" si="44"/>
        <v>0.10000000000000009</v>
      </c>
      <c r="K41" s="19">
        <f t="shared" si="44"/>
        <v>0.10000000000000031</v>
      </c>
    </row>
    <row r="42" spans="2:14" x14ac:dyDescent="0.55000000000000004">
      <c r="B42" s="15" t="s">
        <v>7</v>
      </c>
      <c r="C42" s="33"/>
      <c r="D42" s="49">
        <f t="shared" ref="D42:E42" si="45">(D11/C11)-1</f>
        <v>1.0204081632653059</v>
      </c>
      <c r="E42" s="49">
        <f t="shared" si="45"/>
        <v>0.69360269360269355</v>
      </c>
      <c r="F42" s="49">
        <f t="shared" ref="F42:K42" si="46">(F11/E11)-1</f>
        <v>-0.63674950298210731</v>
      </c>
      <c r="G42" s="49">
        <f t="shared" si="46"/>
        <v>0.30000000000000004</v>
      </c>
      <c r="H42" s="49">
        <f t="shared" si="46"/>
        <v>0.19999999999999996</v>
      </c>
      <c r="I42" s="49">
        <f t="shared" si="46"/>
        <v>0.19999999999999996</v>
      </c>
      <c r="J42" s="49">
        <f t="shared" si="46"/>
        <v>0.10000000000000009</v>
      </c>
      <c r="K42" s="19">
        <f t="shared" si="46"/>
        <v>0.10000000000000031</v>
      </c>
    </row>
    <row r="43" spans="2:14" x14ac:dyDescent="0.55000000000000004">
      <c r="B43" s="15" t="s">
        <v>8</v>
      </c>
      <c r="C43" s="33"/>
      <c r="D43" s="49">
        <f t="shared" ref="D43:E43" si="47">(D12/C12)-1</f>
        <v>-9.5348837209302317E-2</v>
      </c>
      <c r="E43" s="49">
        <f t="shared" si="47"/>
        <v>0.1413881748071979</v>
      </c>
      <c r="F43" s="49">
        <f t="shared" ref="F43:K43" si="48">(F12/E12)-1</f>
        <v>0</v>
      </c>
      <c r="G43" s="49">
        <f t="shared" si="48"/>
        <v>0</v>
      </c>
      <c r="H43" s="49">
        <f t="shared" si="48"/>
        <v>0</v>
      </c>
      <c r="I43" s="49">
        <f t="shared" si="48"/>
        <v>0</v>
      </c>
      <c r="J43" s="49">
        <f t="shared" si="48"/>
        <v>0</v>
      </c>
      <c r="K43" s="19">
        <f t="shared" si="48"/>
        <v>0</v>
      </c>
    </row>
    <row r="44" spans="2:14" x14ac:dyDescent="0.55000000000000004">
      <c r="B44" s="15" t="s">
        <v>9</v>
      </c>
      <c r="C44" s="33"/>
      <c r="D44" s="49">
        <f t="shared" ref="D44:E44" si="49">(D13/C13)-1</f>
        <v>-0.28248587570621464</v>
      </c>
      <c r="E44" s="49">
        <f t="shared" si="49"/>
        <v>-0.13910761154855644</v>
      </c>
      <c r="F44" s="49">
        <f t="shared" ref="F44:K44" si="50">(F13/E13)-1</f>
        <v>-0.44294207317073175</v>
      </c>
      <c r="G44" s="49">
        <f t="shared" si="50"/>
        <v>0.30000000000000004</v>
      </c>
      <c r="H44" s="49">
        <f t="shared" si="50"/>
        <v>0.19999999999999996</v>
      </c>
      <c r="I44" s="49">
        <f t="shared" si="50"/>
        <v>0.19999999999999996</v>
      </c>
      <c r="J44" s="49">
        <f t="shared" si="50"/>
        <v>0.10000000000000009</v>
      </c>
      <c r="K44" s="19">
        <f t="shared" si="50"/>
        <v>0.10000000000000031</v>
      </c>
    </row>
    <row r="45" spans="2:14" x14ac:dyDescent="0.55000000000000004">
      <c r="B45" s="15" t="s">
        <v>10</v>
      </c>
      <c r="C45" s="33"/>
      <c r="D45" s="49">
        <f t="shared" ref="D45:E45" si="51">(D14/C14)-1</f>
        <v>-0.16376306620209058</v>
      </c>
      <c r="E45" s="49">
        <f t="shared" si="51"/>
        <v>-0.15416666666666667</v>
      </c>
      <c r="F45" s="49">
        <f t="shared" ref="F45:K45" si="52">(F14/E14)-1</f>
        <v>0</v>
      </c>
      <c r="G45" s="49">
        <f t="shared" si="52"/>
        <v>5.0000000000000044E-2</v>
      </c>
      <c r="H45" s="49">
        <f t="shared" si="52"/>
        <v>0</v>
      </c>
      <c r="I45" s="49">
        <f t="shared" si="52"/>
        <v>-5.0000000000000044E-2</v>
      </c>
      <c r="J45" s="49">
        <f t="shared" si="52"/>
        <v>-5.0000000000000044E-2</v>
      </c>
      <c r="K45" s="19">
        <f t="shared" si="52"/>
        <v>-5.0000000000000044E-2</v>
      </c>
    </row>
    <row r="46" spans="2:14" x14ac:dyDescent="0.55000000000000004">
      <c r="B46" s="15" t="s">
        <v>11</v>
      </c>
      <c r="C46" s="33"/>
      <c r="D46" s="49">
        <f t="shared" ref="D46:E46" si="53">(D15/C15)-1</f>
        <v>-0.15625</v>
      </c>
      <c r="E46" s="49">
        <f t="shared" si="53"/>
        <v>4.0740740740740744E-2</v>
      </c>
      <c r="F46" s="49">
        <f t="shared" ref="F46:K46" si="54">(F15/E15)-1</f>
        <v>3.0000000000000027E-2</v>
      </c>
      <c r="G46" s="49">
        <f t="shared" si="54"/>
        <v>3.0000000000000027E-2</v>
      </c>
      <c r="H46" s="49">
        <f t="shared" si="54"/>
        <v>3.0000000000000027E-2</v>
      </c>
      <c r="I46" s="49">
        <f t="shared" si="54"/>
        <v>3.0000000000000027E-2</v>
      </c>
      <c r="J46" s="49">
        <f t="shared" si="54"/>
        <v>3.0000000000000027E-2</v>
      </c>
      <c r="K46" s="19">
        <f t="shared" si="54"/>
        <v>3.0000000000000027E-2</v>
      </c>
    </row>
    <row r="47" spans="2:14" x14ac:dyDescent="0.55000000000000004">
      <c r="B47" s="15" t="s">
        <v>12</v>
      </c>
      <c r="C47" s="33"/>
      <c r="D47" s="49">
        <f t="shared" ref="D47:E47" si="55">(D16/C16)-1</f>
        <v>0.29292929292929304</v>
      </c>
      <c r="E47" s="49">
        <f t="shared" si="55"/>
        <v>-0.359375</v>
      </c>
      <c r="F47" s="49">
        <f t="shared" ref="F47:K47" si="56">(F16/E16)-1</f>
        <v>5.0000000000000044E-2</v>
      </c>
      <c r="G47" s="49">
        <f t="shared" si="56"/>
        <v>3.0000000000000027E-2</v>
      </c>
      <c r="H47" s="49">
        <f t="shared" si="56"/>
        <v>2.0000000000000018E-2</v>
      </c>
      <c r="I47" s="49">
        <f t="shared" si="56"/>
        <v>1.0000000000000009E-2</v>
      </c>
      <c r="J47" s="49">
        <f t="shared" si="56"/>
        <v>0</v>
      </c>
      <c r="K47" s="19">
        <f t="shared" si="56"/>
        <v>-3.0000000000000138E-2</v>
      </c>
    </row>
    <row r="48" spans="2:14" x14ac:dyDescent="0.55000000000000004">
      <c r="B48" s="41" t="s">
        <v>13</v>
      </c>
      <c r="C48" s="42"/>
      <c r="D48" s="53">
        <f t="shared" ref="D48:E48" si="57">(D17/C17)-1</f>
        <v>-9.8821081830790525E-2</v>
      </c>
      <c r="E48" s="53">
        <f t="shared" si="57"/>
        <v>0.12812620238553296</v>
      </c>
      <c r="F48" s="53">
        <f t="shared" ref="F48:K48" si="58">(F17/E17)-1</f>
        <v>-0.10289733969986359</v>
      </c>
      <c r="G48" s="53">
        <f t="shared" si="58"/>
        <v>0.19151710543073897</v>
      </c>
      <c r="H48" s="53">
        <f t="shared" si="58"/>
        <v>0.13680001336288661</v>
      </c>
      <c r="I48" s="53">
        <f t="shared" si="58"/>
        <v>0.14064378797979815</v>
      </c>
      <c r="J48" s="53">
        <f t="shared" si="58"/>
        <v>7.3904532803831691E-2</v>
      </c>
      <c r="K48" s="54">
        <f t="shared" si="58"/>
        <v>7.5268163474108363E-2</v>
      </c>
    </row>
    <row r="49" spans="2:11" x14ac:dyDescent="0.55000000000000004">
      <c r="B49" s="30" t="s">
        <v>14</v>
      </c>
      <c r="C49" s="36"/>
      <c r="D49" s="55">
        <f t="shared" ref="D49:E49" si="59">(D18/C18)-1</f>
        <v>-0.67040816326530606</v>
      </c>
      <c r="E49" s="55">
        <f t="shared" si="59"/>
        <v>-0.62538699690402477</v>
      </c>
      <c r="F49" s="55">
        <f t="shared" ref="F49:K49" si="60">(F18/E18)-1</f>
        <v>-9.4627685950413216</v>
      </c>
      <c r="G49" s="55">
        <f t="shared" si="60"/>
        <v>0.57865673172232279</v>
      </c>
      <c r="H49" s="55">
        <f t="shared" si="60"/>
        <v>0.32252870303091186</v>
      </c>
      <c r="I49" s="55">
        <f t="shared" si="60"/>
        <v>0.29891587365801953</v>
      </c>
      <c r="J49" s="55">
        <f t="shared" si="60"/>
        <v>0.13818861480404565</v>
      </c>
      <c r="K49" s="56">
        <f t="shared" si="60"/>
        <v>0.1341488933895727</v>
      </c>
    </row>
    <row r="50" spans="2:11" x14ac:dyDescent="0.55000000000000004">
      <c r="B50" s="15" t="s">
        <v>15</v>
      </c>
      <c r="C50" s="33"/>
      <c r="D50" s="49">
        <f t="shared" ref="D50:E50" si="61">(D19/C19)-1</f>
        <v>-1.3275862068965516</v>
      </c>
      <c r="E50" s="49">
        <f t="shared" si="61"/>
        <v>7.1052631578947363</v>
      </c>
      <c r="F50" s="49"/>
      <c r="G50" s="49"/>
      <c r="H50" s="49"/>
      <c r="I50" s="49"/>
      <c r="J50" s="49"/>
      <c r="K50" s="19"/>
    </row>
    <row r="51" spans="2:11" x14ac:dyDescent="0.55000000000000004">
      <c r="B51" s="15" t="s">
        <v>16</v>
      </c>
      <c r="C51" s="33"/>
      <c r="D51" s="49">
        <f t="shared" ref="D51:E51" si="62">(D20/C20)-1</f>
        <v>19</v>
      </c>
      <c r="E51" s="49">
        <f t="shared" si="62"/>
        <v>-1.2</v>
      </c>
      <c r="F51" s="49">
        <f t="shared" ref="F51:K51" si="63">(F20/E20)-1</f>
        <v>-24.460549374999999</v>
      </c>
      <c r="G51" s="49">
        <f t="shared" si="63"/>
        <v>0.37705698707662938</v>
      </c>
      <c r="H51" s="49">
        <f t="shared" si="63"/>
        <v>0.39362185571137842</v>
      </c>
      <c r="I51" s="49">
        <f t="shared" si="63"/>
        <v>0.3110680198683764</v>
      </c>
      <c r="J51" s="49">
        <f t="shared" si="63"/>
        <v>0.11377587560319324</v>
      </c>
      <c r="K51" s="19">
        <f t="shared" si="63"/>
        <v>0.10427937125571085</v>
      </c>
    </row>
    <row r="52" spans="2:11" x14ac:dyDescent="0.55000000000000004">
      <c r="B52" s="30" t="s">
        <v>17</v>
      </c>
      <c r="C52" s="36"/>
      <c r="D52" s="55">
        <f t="shared" ref="D52:E52" si="64">(D21/C21)-1</f>
        <v>-0.76425120772946864</v>
      </c>
      <c r="E52" s="55">
        <f t="shared" si="64"/>
        <v>-1.0860655737704918</v>
      </c>
      <c r="F52" s="55">
        <f t="shared" ref="F52:K52" si="65">(F21/E21)-1</f>
        <v>1.2000000000000002</v>
      </c>
      <c r="G52" s="55">
        <f t="shared" si="65"/>
        <v>1.2000000000000002</v>
      </c>
      <c r="H52" s="55">
        <f t="shared" si="65"/>
        <v>1.2000000000000002</v>
      </c>
      <c r="I52" s="55">
        <f t="shared" si="65"/>
        <v>1.2000000000000002</v>
      </c>
      <c r="J52" s="55">
        <f t="shared" si="65"/>
        <v>1.2000000000000002</v>
      </c>
      <c r="K52" s="56">
        <f t="shared" si="65"/>
        <v>1.2000000000000002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</vt:lpstr>
      <vt:lpstr>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 Pilcher</dc:creator>
  <cp:lastModifiedBy>Joshua E Pilcher</cp:lastModifiedBy>
  <dcterms:created xsi:type="dcterms:W3CDTF">2025-09-10T23:20:44Z</dcterms:created>
  <dcterms:modified xsi:type="dcterms:W3CDTF">2025-09-11T13:27:10Z</dcterms:modified>
</cp:coreProperties>
</file>