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ilc\OneDrive - Louisiana State University\Desktop\valuation\research\"/>
    </mc:Choice>
  </mc:AlternateContent>
  <xr:revisionPtr revIDLastSave="0" documentId="13_ncr:1_{FD025740-FB10-4AE0-9799-D06A557E26D0}" xr6:coauthVersionLast="47" xr6:coauthVersionMax="47" xr10:uidLastSave="{00000000-0000-0000-0000-000000000000}"/>
  <bookViews>
    <workbookView xWindow="11442" yWindow="0" windowWidth="11676" windowHeight="13758" firstSheet="2" activeTab="3" xr2:uid="{4E2427E6-D2C1-49DA-B21C-AD4FF0F49230}"/>
  </bookViews>
  <sheets>
    <sheet name="MAIN" sheetId="3" r:id="rId1"/>
    <sheet name="EV" sheetId="4" r:id="rId2"/>
    <sheet name="IS - Q" sheetId="1" r:id="rId3"/>
    <sheet name="IS - Y" sheetId="2" r:id="rId4"/>
    <sheet name="BS - Q" sheetId="5" r:id="rId5"/>
    <sheet name="BS - Y" sheetId="6" r:id="rId6"/>
  </sheet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2" l="1"/>
  <c r="E86" i="2"/>
  <c r="E29" i="2"/>
  <c r="E39" i="2" s="1"/>
  <c r="F79" i="2"/>
  <c r="F76" i="2"/>
  <c r="D79" i="2"/>
  <c r="E76" i="2" s="1"/>
  <c r="E79" i="2" s="1"/>
  <c r="E72" i="2"/>
  <c r="D73" i="2"/>
  <c r="F73" i="2"/>
  <c r="D72" i="2"/>
  <c r="E69" i="2"/>
  <c r="E73" i="2" s="1"/>
  <c r="D69" i="2"/>
  <c r="D127" i="2"/>
  <c r="H127" i="2"/>
  <c r="G127" i="2"/>
  <c r="F127" i="2"/>
  <c r="E127" i="2"/>
  <c r="E120" i="2"/>
  <c r="E109" i="2"/>
  <c r="D61" i="2"/>
  <c r="F61" i="2"/>
  <c r="D60" i="2"/>
  <c r="E60" i="2"/>
  <c r="F60" i="2"/>
  <c r="D51" i="2"/>
  <c r="F51" i="2"/>
  <c r="D47" i="2"/>
  <c r="E47" i="2"/>
  <c r="E51" i="2" s="1"/>
  <c r="F47" i="2"/>
  <c r="F29" i="2"/>
  <c r="F39" i="2" s="1"/>
  <c r="D29" i="2"/>
  <c r="D39" i="2" s="1"/>
  <c r="D122" i="2"/>
  <c r="D124" i="2" s="1"/>
  <c r="D126" i="2" s="1"/>
  <c r="E125" i="2" s="1"/>
  <c r="D120" i="2"/>
  <c r="D109" i="2"/>
  <c r="D98" i="2"/>
  <c r="F125" i="2"/>
  <c r="F120" i="2"/>
  <c r="F109" i="2"/>
  <c r="G125" i="2"/>
  <c r="G120" i="2"/>
  <c r="G109" i="2"/>
  <c r="H125" i="2"/>
  <c r="H120" i="2"/>
  <c r="H109" i="2"/>
  <c r="E61" i="2" l="1"/>
  <c r="G79" i="2"/>
  <c r="H79" i="2"/>
  <c r="H72" i="2"/>
  <c r="H69" i="2"/>
  <c r="G72" i="2"/>
  <c r="G69" i="2"/>
  <c r="G60" i="2"/>
  <c r="G47" i="2"/>
  <c r="G51" i="2" s="1"/>
  <c r="G61" i="2" s="1"/>
  <c r="G29" i="2"/>
  <c r="G39" i="2" s="1"/>
  <c r="H60" i="2"/>
  <c r="H47" i="2"/>
  <c r="H51" i="2" s="1"/>
  <c r="H29" i="2"/>
  <c r="H39" i="2" s="1"/>
  <c r="I14" i="2"/>
  <c r="I11" i="2"/>
  <c r="J11" i="2" s="1"/>
  <c r="K11" i="2" s="1"/>
  <c r="L11" i="2" s="1"/>
  <c r="M11" i="2" s="1"/>
  <c r="N11" i="2" s="1"/>
  <c r="O11" i="2" s="1"/>
  <c r="P11" i="2" s="1"/>
  <c r="Q11" i="2" s="1"/>
  <c r="R11" i="2" s="1"/>
  <c r="I6" i="2"/>
  <c r="J6" i="2" s="1"/>
  <c r="K6" i="2" s="1"/>
  <c r="L6" i="2" s="1"/>
  <c r="M6" i="2" s="1"/>
  <c r="N6" i="2" s="1"/>
  <c r="O6" i="2" s="1"/>
  <c r="P6" i="2" s="1"/>
  <c r="Q6" i="2" s="1"/>
  <c r="R6" i="2" s="1"/>
  <c r="I5" i="2"/>
  <c r="J5" i="2" s="1"/>
  <c r="K5" i="2" s="1"/>
  <c r="L5" i="2" s="1"/>
  <c r="M5" i="2" s="1"/>
  <c r="N5" i="2" s="1"/>
  <c r="O5" i="2" s="1"/>
  <c r="P5" i="2" s="1"/>
  <c r="Q5" i="2" s="1"/>
  <c r="R5" i="2" s="1"/>
  <c r="I4" i="2"/>
  <c r="J4" i="2" s="1"/>
  <c r="K4" i="2" s="1"/>
  <c r="L4" i="2" s="1"/>
  <c r="M4" i="2" s="1"/>
  <c r="N4" i="2" s="1"/>
  <c r="O4" i="2" s="1"/>
  <c r="P4" i="2" s="1"/>
  <c r="Q4" i="2" s="1"/>
  <c r="R4" i="2" s="1"/>
  <c r="I3" i="2"/>
  <c r="G73" i="2" l="1"/>
  <c r="H73" i="2"/>
  <c r="H61" i="2"/>
  <c r="I7" i="2"/>
  <c r="I8" i="2" s="1"/>
  <c r="J3" i="2"/>
  <c r="J14" i="2"/>
  <c r="H162" i="2"/>
  <c r="H163" i="2"/>
  <c r="H164" i="2"/>
  <c r="H167" i="2"/>
  <c r="H168" i="2"/>
  <c r="H169" i="2"/>
  <c r="H174" i="2"/>
  <c r="E9" i="4"/>
  <c r="E8" i="4"/>
  <c r="H12" i="2"/>
  <c r="H7" i="2"/>
  <c r="V7" i="1"/>
  <c r="V25" i="1" s="1"/>
  <c r="V26" i="1"/>
  <c r="V16" i="1"/>
  <c r="V15" i="1"/>
  <c r="V14" i="1"/>
  <c r="V12" i="1"/>
  <c r="V11" i="1"/>
  <c r="V10" i="1"/>
  <c r="V9" i="1"/>
  <c r="V8" i="1"/>
  <c r="V6" i="1"/>
  <c r="V5" i="1"/>
  <c r="V4" i="1"/>
  <c r="V3" i="1"/>
  <c r="D162" i="2"/>
  <c r="E162" i="2"/>
  <c r="F162" i="2"/>
  <c r="G162" i="2"/>
  <c r="D163" i="2"/>
  <c r="E163" i="2"/>
  <c r="F163" i="2"/>
  <c r="G163" i="2"/>
  <c r="D164" i="2"/>
  <c r="E164" i="2"/>
  <c r="F164" i="2"/>
  <c r="G164" i="2"/>
  <c r="D166" i="2"/>
  <c r="E166" i="2"/>
  <c r="F166" i="2"/>
  <c r="D167" i="2"/>
  <c r="E167" i="2"/>
  <c r="F167" i="2"/>
  <c r="G167" i="2"/>
  <c r="D168" i="2"/>
  <c r="E168" i="2"/>
  <c r="F168" i="2"/>
  <c r="G168" i="2"/>
  <c r="D169" i="2"/>
  <c r="E169" i="2"/>
  <c r="F169" i="2"/>
  <c r="G169" i="2"/>
  <c r="D172" i="2"/>
  <c r="E172" i="2"/>
  <c r="F172" i="2"/>
  <c r="D174" i="2"/>
  <c r="E174" i="2"/>
  <c r="F174" i="2"/>
  <c r="G174" i="2"/>
  <c r="E7" i="4"/>
  <c r="E10" i="4" s="1"/>
  <c r="C7" i="1"/>
  <c r="E12" i="1"/>
  <c r="E26" i="1" s="1"/>
  <c r="D12" i="1"/>
  <c r="C12" i="1"/>
  <c r="F16" i="1"/>
  <c r="F15" i="1"/>
  <c r="F11" i="1"/>
  <c r="F10" i="1"/>
  <c r="F9" i="1"/>
  <c r="F6" i="1"/>
  <c r="F5" i="1"/>
  <c r="F4" i="1"/>
  <c r="G1" i="1"/>
  <c r="K1" i="1" s="1"/>
  <c r="O1" i="1" s="1"/>
  <c r="S1" i="1" s="1"/>
  <c r="D7" i="1"/>
  <c r="D2" i="1"/>
  <c r="E2" i="1" s="1"/>
  <c r="F2" i="1" s="1"/>
  <c r="J16" i="1"/>
  <c r="J15" i="1"/>
  <c r="J14" i="1"/>
  <c r="J11" i="1"/>
  <c r="J10" i="1"/>
  <c r="J9" i="1"/>
  <c r="J6" i="1"/>
  <c r="J5" i="1"/>
  <c r="J4" i="1"/>
  <c r="I12" i="1"/>
  <c r="H12" i="1"/>
  <c r="G12" i="1"/>
  <c r="I7" i="1"/>
  <c r="H7" i="1"/>
  <c r="G7" i="1"/>
  <c r="H2" i="1"/>
  <c r="I2" i="1" s="1"/>
  <c r="J2" i="1" s="1"/>
  <c r="T2" i="1"/>
  <c r="U2" i="1" s="1"/>
  <c r="V2" i="1" s="1"/>
  <c r="P2" i="1"/>
  <c r="Q2" i="1" s="1"/>
  <c r="R2" i="1" s="1"/>
  <c r="L2" i="1"/>
  <c r="M2" i="1" s="1"/>
  <c r="N2" i="1" s="1"/>
  <c r="M12" i="1"/>
  <c r="M26" i="1" s="1"/>
  <c r="M7" i="1"/>
  <c r="L12" i="1"/>
  <c r="L7" i="1"/>
  <c r="K12" i="1"/>
  <c r="K7" i="1"/>
  <c r="N16" i="1"/>
  <c r="N15" i="1"/>
  <c r="N11" i="1"/>
  <c r="N10" i="1"/>
  <c r="N9" i="1"/>
  <c r="N8" i="1"/>
  <c r="N6" i="1"/>
  <c r="N5" i="1"/>
  <c r="N4" i="1"/>
  <c r="R15" i="1"/>
  <c r="R16" i="1"/>
  <c r="P12" i="1"/>
  <c r="P26" i="1" s="1"/>
  <c r="Q12" i="1"/>
  <c r="S12" i="1"/>
  <c r="T12" i="1"/>
  <c r="U12" i="1"/>
  <c r="O12" i="1"/>
  <c r="R11" i="1"/>
  <c r="R10" i="1"/>
  <c r="R9" i="1"/>
  <c r="R8" i="1"/>
  <c r="R4" i="1"/>
  <c r="R5" i="1"/>
  <c r="R6" i="1"/>
  <c r="C12" i="2"/>
  <c r="C7" i="2"/>
  <c r="C13" i="2" s="1"/>
  <c r="C17" i="2" s="1"/>
  <c r="C155" i="2" s="1"/>
  <c r="E12" i="2"/>
  <c r="F12" i="2"/>
  <c r="G12" i="2"/>
  <c r="D12" i="2"/>
  <c r="D7" i="2"/>
  <c r="D13" i="2" s="1"/>
  <c r="D17" i="2" s="1"/>
  <c r="D155" i="2" s="1"/>
  <c r="E7" i="2"/>
  <c r="E13" i="2" s="1"/>
  <c r="E17" i="2" s="1"/>
  <c r="F7" i="2"/>
  <c r="F13" i="2" s="1"/>
  <c r="F17" i="2" s="1"/>
  <c r="G7" i="2"/>
  <c r="G13" i="2" s="1"/>
  <c r="G17" i="2" s="1"/>
  <c r="O7" i="1"/>
  <c r="P7" i="1"/>
  <c r="Q7" i="1"/>
  <c r="Q25" i="1" s="1"/>
  <c r="S7" i="1"/>
  <c r="T7" i="1"/>
  <c r="U7" i="1"/>
  <c r="U25" i="1" s="1"/>
  <c r="E155" i="2" l="1"/>
  <c r="E84" i="2"/>
  <c r="E98" i="2" s="1"/>
  <c r="E122" i="2" s="1"/>
  <c r="E124" i="2" s="1"/>
  <c r="E126" i="2" s="1"/>
  <c r="G155" i="2"/>
  <c r="G84" i="2"/>
  <c r="G98" i="2" s="1"/>
  <c r="G122" i="2" s="1"/>
  <c r="G124" i="2" s="1"/>
  <c r="G126" i="2" s="1"/>
  <c r="F155" i="2"/>
  <c r="F84" i="2"/>
  <c r="F98" i="2" s="1"/>
  <c r="F122" i="2" s="1"/>
  <c r="F124" i="2" s="1"/>
  <c r="F126" i="2" s="1"/>
  <c r="I10" i="2"/>
  <c r="I9" i="2"/>
  <c r="I167" i="2"/>
  <c r="E158" i="2"/>
  <c r="D158" i="2"/>
  <c r="G158" i="2"/>
  <c r="F158" i="2"/>
  <c r="H170" i="2"/>
  <c r="I174" i="2"/>
  <c r="K3" i="2"/>
  <c r="J7" i="2"/>
  <c r="I163" i="2"/>
  <c r="I164" i="2"/>
  <c r="I162" i="2"/>
  <c r="K14" i="2"/>
  <c r="I169" i="2"/>
  <c r="I168" i="2"/>
  <c r="H165" i="2"/>
  <c r="H156" i="2"/>
  <c r="H157" i="2"/>
  <c r="J3" i="1"/>
  <c r="J7" i="1" s="1"/>
  <c r="J25" i="1" s="1"/>
  <c r="G161" i="2"/>
  <c r="E161" i="2"/>
  <c r="N3" i="1"/>
  <c r="N7" i="1" s="1"/>
  <c r="N25" i="1" s="1"/>
  <c r="F14" i="1"/>
  <c r="H13" i="2"/>
  <c r="N14" i="1"/>
  <c r="F3" i="1"/>
  <c r="D161" i="2"/>
  <c r="F161" i="2"/>
  <c r="R14" i="1"/>
  <c r="F8" i="1"/>
  <c r="F12" i="1" s="1"/>
  <c r="F26" i="1" s="1"/>
  <c r="H166" i="2"/>
  <c r="R3" i="1"/>
  <c r="R7" i="1" s="1"/>
  <c r="R25" i="1" s="1"/>
  <c r="J8" i="1"/>
  <c r="J12" i="1" s="1"/>
  <c r="G172" i="2"/>
  <c r="G166" i="2"/>
  <c r="H161" i="2"/>
  <c r="D170" i="2"/>
  <c r="G170" i="2"/>
  <c r="V13" i="1"/>
  <c r="E165" i="2"/>
  <c r="D165" i="2"/>
  <c r="E170" i="2"/>
  <c r="F170" i="2"/>
  <c r="F165" i="2"/>
  <c r="G171" i="2"/>
  <c r="F171" i="2"/>
  <c r="E171" i="2"/>
  <c r="G175" i="2"/>
  <c r="F175" i="2"/>
  <c r="D171" i="2"/>
  <c r="E175" i="2"/>
  <c r="D175" i="2"/>
  <c r="G165" i="2"/>
  <c r="F157" i="2"/>
  <c r="D157" i="2"/>
  <c r="E157" i="2"/>
  <c r="D154" i="2"/>
  <c r="G154" i="2"/>
  <c r="G157" i="2"/>
  <c r="I25" i="1"/>
  <c r="T25" i="1"/>
  <c r="U26" i="1"/>
  <c r="T26" i="1"/>
  <c r="H25" i="1"/>
  <c r="D26" i="1"/>
  <c r="M25" i="1"/>
  <c r="L26" i="1"/>
  <c r="Q26" i="1"/>
  <c r="I26" i="1"/>
  <c r="H26" i="1"/>
  <c r="D25" i="1"/>
  <c r="D156" i="2"/>
  <c r="G156" i="2"/>
  <c r="F156" i="2"/>
  <c r="F154" i="2"/>
  <c r="E156" i="2"/>
  <c r="E154" i="2"/>
  <c r="C154" i="2"/>
  <c r="P25" i="1"/>
  <c r="L25" i="1"/>
  <c r="E7" i="1"/>
  <c r="E25" i="1" s="1"/>
  <c r="D13" i="1"/>
  <c r="S13" i="1"/>
  <c r="S23" i="1" s="1"/>
  <c r="T13" i="1"/>
  <c r="T23" i="1" s="1"/>
  <c r="I13" i="1"/>
  <c r="I23" i="1" s="1"/>
  <c r="H13" i="1"/>
  <c r="H17" i="1" s="1"/>
  <c r="H24" i="1" s="1"/>
  <c r="G13" i="1"/>
  <c r="G23" i="1" s="1"/>
  <c r="C13" i="1"/>
  <c r="M13" i="1"/>
  <c r="M17" i="1" s="1"/>
  <c r="M24" i="1" s="1"/>
  <c r="R12" i="1"/>
  <c r="R26" i="1" s="1"/>
  <c r="O13" i="1"/>
  <c r="O23" i="1" s="1"/>
  <c r="K13" i="1"/>
  <c r="Q13" i="1"/>
  <c r="Q23" i="1" s="1"/>
  <c r="L13" i="1"/>
  <c r="N12" i="1"/>
  <c r="N26" i="1" s="1"/>
  <c r="P13" i="1"/>
  <c r="U13" i="1"/>
  <c r="I12" i="2" l="1"/>
  <c r="I13" i="2"/>
  <c r="I16" i="2" s="1"/>
  <c r="I17" i="2" s="1"/>
  <c r="H171" i="2"/>
  <c r="I171" i="2" s="1"/>
  <c r="J9" i="2"/>
  <c r="J10" i="2"/>
  <c r="J8" i="2"/>
  <c r="L3" i="2"/>
  <c r="K7" i="2"/>
  <c r="L14" i="2"/>
  <c r="H17" i="2"/>
  <c r="H84" i="2" s="1"/>
  <c r="H98" i="2" s="1"/>
  <c r="H122" i="2" s="1"/>
  <c r="H124" i="2" s="1"/>
  <c r="H126" i="2" s="1"/>
  <c r="I166" i="2"/>
  <c r="I161" i="2"/>
  <c r="I165" i="2"/>
  <c r="H154" i="2"/>
  <c r="H172" i="2"/>
  <c r="I172" i="2" s="1"/>
  <c r="I170" i="2"/>
  <c r="V23" i="1"/>
  <c r="V17" i="1"/>
  <c r="V24" i="1" s="1"/>
  <c r="G26" i="1"/>
  <c r="O25" i="1"/>
  <c r="K26" i="1"/>
  <c r="J26" i="1"/>
  <c r="S25" i="1"/>
  <c r="K25" i="1"/>
  <c r="O26" i="1"/>
  <c r="S26" i="1"/>
  <c r="D23" i="1"/>
  <c r="F7" i="1"/>
  <c r="C23" i="1"/>
  <c r="E13" i="1"/>
  <c r="T17" i="1"/>
  <c r="T24" i="1" s="1"/>
  <c r="D17" i="1"/>
  <c r="I17" i="1"/>
  <c r="I24" i="1" s="1"/>
  <c r="O17" i="1"/>
  <c r="O24" i="1" s="1"/>
  <c r="S17" i="1"/>
  <c r="S24" i="1" s="1"/>
  <c r="M23" i="1"/>
  <c r="H23" i="1"/>
  <c r="G17" i="1"/>
  <c r="G24" i="1" s="1"/>
  <c r="Q17" i="1"/>
  <c r="Q24" i="1" s="1"/>
  <c r="J13" i="1"/>
  <c r="J17" i="1" s="1"/>
  <c r="J24" i="1" s="1"/>
  <c r="R13" i="1"/>
  <c r="R23" i="1" s="1"/>
  <c r="U17" i="1"/>
  <c r="U24" i="1" s="1"/>
  <c r="U23" i="1"/>
  <c r="P17" i="1"/>
  <c r="P24" i="1" s="1"/>
  <c r="P23" i="1"/>
  <c r="L17" i="1"/>
  <c r="L24" i="1" s="1"/>
  <c r="L23" i="1"/>
  <c r="K17" i="1"/>
  <c r="K24" i="1" s="1"/>
  <c r="K23" i="1"/>
  <c r="N13" i="1"/>
  <c r="J12" i="2" l="1"/>
  <c r="K8" i="2"/>
  <c r="K9" i="2"/>
  <c r="K10" i="2"/>
  <c r="J13" i="2"/>
  <c r="H155" i="2"/>
  <c r="M3" i="2"/>
  <c r="L7" i="2"/>
  <c r="H175" i="2"/>
  <c r="I175" i="2" s="1"/>
  <c r="H158" i="2"/>
  <c r="M14" i="2"/>
  <c r="F25" i="1"/>
  <c r="G25" i="1"/>
  <c r="D24" i="1"/>
  <c r="E23" i="1"/>
  <c r="E17" i="1"/>
  <c r="F13" i="1"/>
  <c r="C17" i="1"/>
  <c r="J23" i="1"/>
  <c r="N17" i="1"/>
  <c r="N24" i="1" s="1"/>
  <c r="N23" i="1"/>
  <c r="R17" i="1"/>
  <c r="R24" i="1" s="1"/>
  <c r="K13" i="2" l="1"/>
  <c r="K16" i="2" s="1"/>
  <c r="J16" i="2"/>
  <c r="J17" i="2" s="1"/>
  <c r="N3" i="2"/>
  <c r="M7" i="2"/>
  <c r="K12" i="2"/>
  <c r="L8" i="2"/>
  <c r="L10" i="2"/>
  <c r="L9" i="2"/>
  <c r="N14" i="2"/>
  <c r="C24" i="1"/>
  <c r="F23" i="1"/>
  <c r="F17" i="1"/>
  <c r="E24" i="1"/>
  <c r="L13" i="2" l="1"/>
  <c r="L16" i="2" s="1"/>
  <c r="L17" i="2" s="1"/>
  <c r="K17" i="2"/>
  <c r="M10" i="2"/>
  <c r="M8" i="2"/>
  <c r="M9" i="2"/>
  <c r="L12" i="2"/>
  <c r="O3" i="2"/>
  <c r="N7" i="2"/>
  <c r="O14" i="2"/>
  <c r="F24" i="1"/>
  <c r="M13" i="2" l="1"/>
  <c r="M16" i="2" s="1"/>
  <c r="M17" i="2" s="1"/>
  <c r="N10" i="2"/>
  <c r="N8" i="2"/>
  <c r="N9" i="2"/>
  <c r="O7" i="2"/>
  <c r="P3" i="2"/>
  <c r="M12" i="2"/>
  <c r="P14" i="2"/>
  <c r="N13" i="2" l="1"/>
  <c r="N16" i="2" s="1"/>
  <c r="N17" i="2" s="1"/>
  <c r="P7" i="2"/>
  <c r="Q3" i="2"/>
  <c r="O10" i="2"/>
  <c r="O8" i="2"/>
  <c r="O9" i="2"/>
  <c r="N12" i="2"/>
  <c r="Q14" i="2"/>
  <c r="O13" i="2" l="1"/>
  <c r="O12" i="2"/>
  <c r="Q7" i="2"/>
  <c r="R3" i="2"/>
  <c r="R7" i="2" s="1"/>
  <c r="P10" i="2"/>
  <c r="P8" i="2"/>
  <c r="P9" i="2"/>
  <c r="R14" i="2"/>
  <c r="O16" i="2" l="1"/>
  <c r="O17" i="2" s="1"/>
  <c r="P12" i="2"/>
  <c r="P13" i="2"/>
  <c r="R9" i="2"/>
  <c r="R10" i="2"/>
  <c r="R8" i="2"/>
  <c r="Q10" i="2"/>
  <c r="Q8" i="2"/>
  <c r="Q9" i="2"/>
  <c r="R12" i="2" l="1"/>
  <c r="P16" i="2"/>
  <c r="P17" i="2" s="1"/>
  <c r="R13" i="2"/>
  <c r="Q12" i="2"/>
  <c r="Q13" i="2"/>
  <c r="Q16" i="2" l="1"/>
  <c r="Q17" i="2" s="1"/>
  <c r="R16" i="2"/>
  <c r="R17" i="2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AG17" i="2" s="1"/>
  <c r="AH17" i="2" s="1"/>
  <c r="AI17" i="2" s="1"/>
  <c r="AJ17" i="2" s="1"/>
  <c r="AK17" i="2" s="1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T154" i="2" l="1"/>
  <c r="T155" i="2" s="1"/>
  <c r="T157" i="2" s="1"/>
  <c r="S157" i="2" s="1"/>
</calcChain>
</file>

<file path=xl/sharedStrings.xml><?xml version="1.0" encoding="utf-8"?>
<sst xmlns="http://schemas.openxmlformats.org/spreadsheetml/2006/main" count="284" uniqueCount="152">
  <si>
    <t>PREMIUMS</t>
  </si>
  <si>
    <t>PRODUCTS</t>
  </si>
  <si>
    <t>SERVICES</t>
  </si>
  <si>
    <t>INVESTMENTS</t>
  </si>
  <si>
    <t>TOTAL REVENUES</t>
  </si>
  <si>
    <t>MEDICAL COSTS</t>
  </si>
  <si>
    <t>OPERATING COSTS</t>
  </si>
  <si>
    <t>COST OF PRODUCTS SOLD</t>
  </si>
  <si>
    <t>DEPRECIATION</t>
  </si>
  <si>
    <t>TOTAL OPERATING COSTS</t>
  </si>
  <si>
    <t>OPERATING INCOME</t>
  </si>
  <si>
    <t>INTEREST EXPENSE</t>
  </si>
  <si>
    <t>LOSS ON SALE</t>
  </si>
  <si>
    <t>TAX</t>
  </si>
  <si>
    <t>NET INCOME</t>
  </si>
  <si>
    <t>FY</t>
  </si>
  <si>
    <t>NET MARGIN</t>
  </si>
  <si>
    <t>DEBT</t>
  </si>
  <si>
    <t>CASH</t>
  </si>
  <si>
    <t>EV</t>
  </si>
  <si>
    <t>PRICE</t>
  </si>
  <si>
    <t>SHARES</t>
  </si>
  <si>
    <t>MC</t>
  </si>
  <si>
    <t>Y/Y REVENUE GROWTH</t>
  </si>
  <si>
    <t>Y/Y COST GROWTH</t>
  </si>
  <si>
    <t>Q/Q REVENUE GROWTH</t>
  </si>
  <si>
    <t>Q/Q COST GROWTH</t>
  </si>
  <si>
    <t>EBIT MARGIN</t>
  </si>
  <si>
    <t>MAIN</t>
  </si>
  <si>
    <t>QUARTERS</t>
  </si>
  <si>
    <t>YEARS</t>
  </si>
  <si>
    <t>INCOME</t>
  </si>
  <si>
    <t>STATEMENTS</t>
  </si>
  <si>
    <t>BALANCE</t>
  </si>
  <si>
    <t>SHEET</t>
  </si>
  <si>
    <t>FLOW</t>
  </si>
  <si>
    <t>ENTERPRISE VALUE</t>
  </si>
  <si>
    <t>ENTERPRISE</t>
  </si>
  <si>
    <t>VALUE</t>
  </si>
  <si>
    <t>(in millions)</t>
  </si>
  <si>
    <t>GROWTH RATES</t>
  </si>
  <si>
    <t>MATURITY</t>
  </si>
  <si>
    <t>DISCOUNT</t>
  </si>
  <si>
    <t>NPV</t>
  </si>
  <si>
    <t>AVG</t>
  </si>
  <si>
    <t>DCF MODEL</t>
  </si>
  <si>
    <t>Q225</t>
  </si>
  <si>
    <t>AS OF 09/01/2025</t>
  </si>
  <si>
    <t>IMPL PRICE</t>
  </si>
  <si>
    <t>CURR PRICE</t>
  </si>
  <si>
    <t>WITH THAT EXTREMELY CONSERVATIVE GROWTH RATE, USING A ONE-TIME LOW NET INCOME AS THE BASE FOR THE GROWTH, THE COMPANY IS FAIRLY VALUED AT 325 A SHARE. THIS ISNT A DCF I MADE USING MY OWN ASSUMPTIONS, INSTEAD I START WITH THE CURRENT VALUATION THAT THE MARKET HAS GIVEN IT, THEN I BASICALLY SOLVE FOR WHAT THE MARKET'S IMPLICIT ASSUMPTIONS ARE</t>
  </si>
  <si>
    <t>Cashflow Statement</t>
  </si>
  <si>
    <t>Operating Activities</t>
  </si>
  <si>
    <t>net income</t>
  </si>
  <si>
    <t>noncash items:</t>
  </si>
  <si>
    <t>deferred income taxes</t>
  </si>
  <si>
    <t>share-based compensation</t>
  </si>
  <si>
    <t>loss on sale of subsidiary &amp; subsidiary held for sale</t>
  </si>
  <si>
    <t>gains on dispositions &amp; other strategic transactions</t>
  </si>
  <si>
    <t>other, net</t>
  </si>
  <si>
    <t>net change in other operating items, net of effects from acquisitions and dispositions:</t>
  </si>
  <si>
    <t>accounts receivable</t>
  </si>
  <si>
    <t>other assets</t>
  </si>
  <si>
    <t>medical costs payable</t>
  </si>
  <si>
    <t>accounts payable &amp; other liabilities</t>
  </si>
  <si>
    <t>unearned revenues</t>
  </si>
  <si>
    <t>cash flows from operating activities</t>
  </si>
  <si>
    <t>investing activities</t>
  </si>
  <si>
    <t>purchases of investments</t>
  </si>
  <si>
    <t>sales of investments</t>
  </si>
  <si>
    <t>maturities of investments</t>
  </si>
  <si>
    <t>cash paid for acquisitions and other transactions, net of cash assumed</t>
  </si>
  <si>
    <t>purchases of property, equipment, and capitalized software</t>
  </si>
  <si>
    <t>loans to care providers - cyberattack</t>
  </si>
  <si>
    <t>repayments of care provider loans - cyberattack</t>
  </si>
  <si>
    <t>cash received from dispositions &amp; other strategic transactions, net</t>
  </si>
  <si>
    <t>cash flows used for investing activities</t>
  </si>
  <si>
    <t>financing activities</t>
  </si>
  <si>
    <t>common share repurchases</t>
  </si>
  <si>
    <t>cash dividends paid</t>
  </si>
  <si>
    <t>proceeds from common stock issuances</t>
  </si>
  <si>
    <t>repayments of long-term debt</t>
  </si>
  <si>
    <t>(repayments of) proceeds from short-term borrowings, net</t>
  </si>
  <si>
    <t>proceeder from issuance of long-term debt</t>
  </si>
  <si>
    <t>customer funds administered</t>
  </si>
  <si>
    <t>purchases of redeemable noncontrolling interests</t>
  </si>
  <si>
    <t>cash flows (used for) from financing activities</t>
  </si>
  <si>
    <t>effect of exchange rate changes on cash &amp; cash equivalents</t>
  </si>
  <si>
    <t>increase in cash &amp; cash equivalents, including cash within businesses held for sale</t>
  </si>
  <si>
    <t>less: cash within businesses held for sale</t>
  </si>
  <si>
    <t>net (decrease) increase in cash &amp; cash equivalents</t>
  </si>
  <si>
    <t>cash &amp; cash equivalents, beginning of period</t>
  </si>
  <si>
    <t>cash &amp; cash equivalents, end of period</t>
  </si>
  <si>
    <t>supplemental cash flow disclosures</t>
  </si>
  <si>
    <t>cash paid for interest</t>
  </si>
  <si>
    <t>cash paid for income taxes</t>
  </si>
  <si>
    <t>Balance Sheet</t>
  </si>
  <si>
    <t>Assets</t>
  </si>
  <si>
    <t>current assets</t>
  </si>
  <si>
    <t>short-term investments</t>
  </si>
  <si>
    <t>cash &amp; cash equivalents</t>
  </si>
  <si>
    <t>accounts receivable, net</t>
  </si>
  <si>
    <t>assets under management</t>
  </si>
  <si>
    <t>prepaid expenses &amp; other current assets</t>
  </si>
  <si>
    <t>total current assets</t>
  </si>
  <si>
    <t>long-term investments</t>
  </si>
  <si>
    <t>property, equipment, &amp; capitalized software, gross</t>
  </si>
  <si>
    <t>accumulated depreciation &amp; amortization</t>
  </si>
  <si>
    <t>property, equipment, &amp; capitalized software, net</t>
  </si>
  <si>
    <t>goodwill</t>
  </si>
  <si>
    <t>other intangible assets, gross</t>
  </si>
  <si>
    <t>accumulated amortization</t>
  </si>
  <si>
    <t>other intangible assets, net</t>
  </si>
  <si>
    <t>total assets</t>
  </si>
  <si>
    <t>liabilities, redeemable noncontrolling interests and equity</t>
  </si>
  <si>
    <t>current liabilities</t>
  </si>
  <si>
    <t>accounts payable &amp; accrued liabilities</t>
  </si>
  <si>
    <t>short-term borrowings &amp; current maturities of long-term debt</t>
  </si>
  <si>
    <t>other current liabilities</t>
  </si>
  <si>
    <t>total current liabilities</t>
  </si>
  <si>
    <t>long-term debt, less current maturities</t>
  </si>
  <si>
    <t>other liabilities</t>
  </si>
  <si>
    <t>total liabilities</t>
  </si>
  <si>
    <t>commitments &amp; contingencies</t>
  </si>
  <si>
    <t>redeemable noncontrolling interests</t>
  </si>
  <si>
    <t>equity:</t>
  </si>
  <si>
    <t>preferred stock</t>
  </si>
  <si>
    <t>common stock</t>
  </si>
  <si>
    <t>retained earnings</t>
  </si>
  <si>
    <t>accumulated other comprehensive loss</t>
  </si>
  <si>
    <t>nonredeemable noncontrolling interests</t>
  </si>
  <si>
    <t>total equity</t>
  </si>
  <si>
    <t>total liabilities, redeemable noncontrolling interests, &amp; equity</t>
  </si>
  <si>
    <t>other current receivables, net</t>
  </si>
  <si>
    <t>PP&amp;E schedule</t>
  </si>
  <si>
    <t>land &amp; improvements</t>
  </si>
  <si>
    <t>buildings &amp; improvements</t>
  </si>
  <si>
    <t>computer equipment</t>
  </si>
  <si>
    <t>furniture &amp; fixtures</t>
  </si>
  <si>
    <t>less accumulated depreciation</t>
  </si>
  <si>
    <t>property and equipment, net</t>
  </si>
  <si>
    <t>capitalized software</t>
  </si>
  <si>
    <t>capitalized software, net</t>
  </si>
  <si>
    <t>total property, equipment, &amp; capitalized software, net</t>
  </si>
  <si>
    <t>Goodwill &amp; Other intangible assets schedule</t>
  </si>
  <si>
    <t>beginning balance</t>
  </si>
  <si>
    <t>acquisitions</t>
  </si>
  <si>
    <t>dispositions, foreign currency effects &amp; other adjustements, net</t>
  </si>
  <si>
    <t>ending balance</t>
  </si>
  <si>
    <t>Double check</t>
  </si>
  <si>
    <t>x</t>
  </si>
  <si>
    <t>depreciation &amp; amortization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</si>
</sst>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Q&quot;#"/>
    <numFmt numFmtId="165" formatCode="&quot;FY&quot;\ #"/>
    <numFmt numFmtId="166" formatCode="0.0%"/>
  </numFmts>
  <fonts count="7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rgb="FF0000FF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6">
    <xf numFmtId="0" fontId="0" fillId="0" borderId="0" xfId="0"/>
    <xf numFmtId="38" fontId="0" fillId="0" borderId="0" xfId="0" applyNumberFormat="1"/>
    <xf numFmtId="0" fontId="1" fillId="0" borderId="2" xfId="0" applyFont="1" applyBorder="1" applyAlignment="1">
      <alignment horizontal="centerContinuous"/>
    </xf>
    <xf numFmtId="0" fontId="1" fillId="0" borderId="3" xfId="0" applyFont="1" applyBorder="1" applyAlignment="1">
      <alignment horizontal="centerContinuous"/>
    </xf>
    <xf numFmtId="164" fontId="1" fillId="0" borderId="1" xfId="0" applyNumberFormat="1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Continuous"/>
    </xf>
    <xf numFmtId="166" fontId="0" fillId="0" borderId="0" xfId="0" applyNumberFormat="1"/>
    <xf numFmtId="0" fontId="1" fillId="0" borderId="0" xfId="0" applyFont="1"/>
    <xf numFmtId="38" fontId="1" fillId="0" borderId="0" xfId="0" applyNumberFormat="1" applyFont="1"/>
    <xf numFmtId="38" fontId="1" fillId="0" borderId="8" xfId="0" applyNumberFormat="1" applyFont="1" applyBorder="1"/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3" fillId="0" borderId="6" xfId="1" applyNumberFormat="1" applyFont="1" applyBorder="1" applyAlignment="1">
      <alignment horizontal="center"/>
    </xf>
    <xf numFmtId="0" fontId="3" fillId="0" borderId="7" xfId="1" applyNumberFormat="1" applyFont="1" applyBorder="1" applyAlignment="1">
      <alignment horizontal="center"/>
    </xf>
    <xf numFmtId="0" fontId="3" fillId="0" borderId="5" xfId="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3" fillId="2" borderId="4" xfId="1" applyNumberFormat="1" applyFont="1" applyFill="1" applyBorder="1" applyAlignment="1">
      <alignment horizontal="center"/>
    </xf>
    <xf numFmtId="0" fontId="3" fillId="2" borderId="5" xfId="1" applyNumberFormat="1" applyFont="1" applyFill="1" applyBorder="1" applyAlignment="1">
      <alignment horizontal="center"/>
    </xf>
    <xf numFmtId="0" fontId="3" fillId="0" borderId="0" xfId="1" applyNumberFormat="1" applyFont="1" applyBorder="1" applyAlignment="1">
      <alignment horizontal="center"/>
    </xf>
    <xf numFmtId="0" fontId="1" fillId="0" borderId="9" xfId="0" applyFont="1" applyBorder="1" applyAlignment="1">
      <alignment horizontal="centerContinuous"/>
    </xf>
    <xf numFmtId="0" fontId="0" fillId="0" borderId="10" xfId="0" applyBorder="1" applyAlignment="1">
      <alignment horizontal="centerContinuous"/>
    </xf>
    <xf numFmtId="0" fontId="0" fillId="0" borderId="11" xfId="0" applyBorder="1" applyAlignment="1">
      <alignment horizontal="centerContinuous"/>
    </xf>
    <xf numFmtId="0" fontId="1" fillId="0" borderId="10" xfId="0" applyFont="1" applyBorder="1" applyAlignment="1">
      <alignment horizontal="centerContinuous"/>
    </xf>
    <xf numFmtId="0" fontId="0" fillId="0" borderId="9" xfId="0" applyBorder="1" applyAlignment="1">
      <alignment horizontal="centerContinuous"/>
    </xf>
    <xf numFmtId="0" fontId="4" fillId="0" borderId="16" xfId="0" applyFont="1" applyBorder="1" applyAlignment="1">
      <alignment horizontal="centerContinuous"/>
    </xf>
    <xf numFmtId="0" fontId="4" fillId="0" borderId="0" xfId="0" applyFont="1" applyAlignment="1">
      <alignment horizontal="centerContinuous"/>
    </xf>
    <xf numFmtId="14" fontId="4" fillId="0" borderId="0" xfId="0" applyNumberFormat="1" applyFont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0" fillId="0" borderId="12" xfId="0" applyBorder="1"/>
    <xf numFmtId="0" fontId="0" fillId="0" borderId="16" xfId="0" applyBorder="1"/>
    <xf numFmtId="4" fontId="0" fillId="0" borderId="4" xfId="0" applyNumberFormat="1" applyBorder="1"/>
    <xf numFmtId="3" fontId="0" fillId="0" borderId="7" xfId="0" applyNumberFormat="1" applyBorder="1"/>
    <xf numFmtId="3" fontId="0" fillId="0" borderId="5" xfId="0" applyNumberFormat="1" applyBorder="1"/>
    <xf numFmtId="0" fontId="0" fillId="0" borderId="4" xfId="0" applyBorder="1"/>
    <xf numFmtId="0" fontId="0" fillId="0" borderId="7" xfId="0" applyBorder="1"/>
    <xf numFmtId="0" fontId="0" fillId="0" borderId="5" xfId="0" applyBorder="1"/>
    <xf numFmtId="10" fontId="0" fillId="0" borderId="0" xfId="0" applyNumberFormat="1"/>
    <xf numFmtId="2" fontId="0" fillId="0" borderId="0" xfId="0" applyNumberFormat="1"/>
    <xf numFmtId="0" fontId="1" fillId="0" borderId="1" xfId="0" applyFont="1" applyBorder="1" applyAlignment="1">
      <alignment horizontal="centerContinuous"/>
    </xf>
    <xf numFmtId="0" fontId="0" fillId="0" borderId="2" xfId="0" applyBorder="1" applyAlignment="1">
      <alignment horizontal="centerContinuous"/>
    </xf>
    <xf numFmtId="10" fontId="0" fillId="0" borderId="7" xfId="0" applyNumberFormat="1" applyBorder="1"/>
    <xf numFmtId="0" fontId="1" fillId="0" borderId="16" xfId="0" applyFont="1" applyBorder="1"/>
    <xf numFmtId="0" fontId="1" fillId="0" borderId="12" xfId="0" applyFont="1" applyBorder="1"/>
    <xf numFmtId="0" fontId="0" fillId="0" borderId="13" xfId="0" applyBorder="1"/>
    <xf numFmtId="0" fontId="0" fillId="0" borderId="9" xfId="0" applyBorder="1"/>
    <xf numFmtId="9" fontId="0" fillId="0" borderId="11" xfId="0" applyNumberFormat="1" applyBorder="1"/>
    <xf numFmtId="10" fontId="0" fillId="0" borderId="15" xfId="0" applyNumberFormat="1" applyBorder="1"/>
    <xf numFmtId="4" fontId="0" fillId="0" borderId="14" xfId="0" applyNumberFormat="1" applyBorder="1"/>
    <xf numFmtId="38" fontId="1" fillId="0" borderId="8" xfId="0" applyNumberFormat="1" applyFont="1" applyBorder="1" applyAlignment="1">
      <alignment horizontal="right"/>
    </xf>
    <xf numFmtId="10" fontId="1" fillId="0" borderId="0" xfId="0" applyNumberFormat="1" applyFont="1"/>
    <xf numFmtId="10" fontId="1" fillId="0" borderId="7" xfId="0" applyNumberFormat="1" applyFont="1" applyBorder="1"/>
    <xf numFmtId="10" fontId="1" fillId="0" borderId="13" xfId="0" applyNumberFormat="1" applyFont="1" applyBorder="1"/>
    <xf numFmtId="10" fontId="1" fillId="0" borderId="5" xfId="0" applyNumberFormat="1" applyFont="1" applyBorder="1"/>
    <xf numFmtId="0" fontId="6" fillId="0" borderId="9" xfId="0" applyFont="1" applyBorder="1" applyAlignment="1">
      <alignment horizontal="centerContinuous"/>
    </xf>
    <xf numFmtId="38" fontId="0" fillId="0" borderId="14" xfId="0" applyNumberFormat="1" applyBorder="1" applyAlignment="1">
      <alignment horizontal="right"/>
    </xf>
    <xf numFmtId="4" fontId="0" fillId="0" borderId="11" xfId="0" applyNumberFormat="1" applyBorder="1"/>
    <xf numFmtId="4" fontId="0" fillId="0" borderId="15" xfId="0" applyNumberFormat="1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0" fillId="0" borderId="5" xfId="0" applyBorder="1" applyAlignment="1">
      <alignment horizontal="center" vertical="center" textRotation="90"/>
    </xf>
    <xf numFmtId="0" fontId="0" fillId="0" borderId="17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20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21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0" fillId="0" borderId="23" xfId="0" applyBorder="1" applyAlignment="1">
      <alignment horizontal="left" vertical="top" wrapText="1"/>
    </xf>
    <xf numFmtId="0" fontId="0" fillId="0" borderId="24" xfId="0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548640</xdr:colOff>
      <xdr:row>0</xdr:row>
      <xdr:rowOff>0</xdr:rowOff>
    </xdr:from>
    <xdr:to>
      <xdr:col>20</xdr:col>
      <xdr:colOff>548640</xdr:colOff>
      <xdr:row>73</xdr:row>
      <xdr:rowOff>121596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3794E35-4D9A-FE4A-B093-1BCDACAFEDEF}"/>
            </a:ext>
          </a:extLst>
        </xdr:cNvPr>
        <xdr:cNvCxnSpPr/>
      </xdr:nvCxnSpPr>
      <xdr:spPr>
        <a:xfrm>
          <a:off x="10885170" y="0"/>
          <a:ext cx="0" cy="12747936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8</xdr:col>
      <xdr:colOff>0</xdr:colOff>
      <xdr:row>223</xdr:row>
      <xdr:rowOff>125406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300854C8-E0C6-4B54-8F52-70EB0897013C}"/>
            </a:ext>
          </a:extLst>
        </xdr:cNvPr>
        <xdr:cNvCxnSpPr/>
      </xdr:nvCxnSpPr>
      <xdr:spPr>
        <a:xfrm>
          <a:off x="6822908" y="0"/>
          <a:ext cx="0" cy="16794156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0</xdr:row>
      <xdr:rowOff>0</xdr:rowOff>
    </xdr:from>
    <xdr:to>
      <xdr:col>18</xdr:col>
      <xdr:colOff>0</xdr:colOff>
      <xdr:row>223</xdr:row>
      <xdr:rowOff>125406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177F706-ED78-4AA7-8804-4C2221C9FC84}"/>
            </a:ext>
          </a:extLst>
        </xdr:cNvPr>
        <xdr:cNvCxnSpPr/>
      </xdr:nvCxnSpPr>
      <xdr:spPr>
        <a:xfrm>
          <a:off x="15149763" y="0"/>
          <a:ext cx="0" cy="16794156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F21CD-610D-47B9-BC33-2921E8D59334}">
  <dimension ref="A1:C19"/>
  <sheetViews>
    <sheetView workbookViewId="0">
      <selection activeCell="B2" sqref="B2"/>
    </sheetView>
  </sheetViews>
  <sheetFormatPr defaultRowHeight="14.4" x14ac:dyDescent="0.55000000000000004"/>
  <cols>
    <col min="1" max="1" width="6.15625" bestFit="1" customWidth="1"/>
    <col min="2" max="2" width="8.83984375" customWidth="1"/>
    <col min="3" max="3" width="12.578125" bestFit="1" customWidth="1"/>
    <col min="5" max="8" width="8.83984375" customWidth="1"/>
    <col min="11" max="13" width="8.83984375" customWidth="1"/>
    <col min="15" max="17" width="8.83984375" customWidth="1"/>
  </cols>
  <sheetData>
    <row r="1" spans="1:3" ht="14.7" thickBot="1" x14ac:dyDescent="0.6">
      <c r="A1" s="20" t="s">
        <v>28</v>
      </c>
    </row>
    <row r="2" spans="1:3" ht="14.7" thickBot="1" x14ac:dyDescent="0.6">
      <c r="A2" s="19"/>
    </row>
    <row r="3" spans="1:3" x14ac:dyDescent="0.55000000000000004">
      <c r="C3" s="21" t="s">
        <v>37</v>
      </c>
    </row>
    <row r="4" spans="1:3" ht="14.7" thickBot="1" x14ac:dyDescent="0.6">
      <c r="C4" s="22" t="s">
        <v>38</v>
      </c>
    </row>
    <row r="5" spans="1:3" ht="14.7" thickBot="1" x14ac:dyDescent="0.6"/>
    <row r="6" spans="1:3" x14ac:dyDescent="0.55000000000000004">
      <c r="C6" s="14" t="s">
        <v>31</v>
      </c>
    </row>
    <row r="7" spans="1:3" ht="14.7" thickBot="1" x14ac:dyDescent="0.6">
      <c r="C7" s="15" t="s">
        <v>32</v>
      </c>
    </row>
    <row r="8" spans="1:3" x14ac:dyDescent="0.55000000000000004">
      <c r="C8" s="17" t="s">
        <v>29</v>
      </c>
    </row>
    <row r="9" spans="1:3" ht="14.7" thickBot="1" x14ac:dyDescent="0.6">
      <c r="C9" s="18" t="s">
        <v>30</v>
      </c>
    </row>
    <row r="10" spans="1:3" ht="14.7" thickBot="1" x14ac:dyDescent="0.6"/>
    <row r="11" spans="1:3" x14ac:dyDescent="0.55000000000000004">
      <c r="C11" s="14" t="s">
        <v>33</v>
      </c>
    </row>
    <row r="12" spans="1:3" ht="14.7" thickBot="1" x14ac:dyDescent="0.6">
      <c r="C12" s="15" t="s">
        <v>34</v>
      </c>
    </row>
    <row r="13" spans="1:3" x14ac:dyDescent="0.55000000000000004">
      <c r="C13" s="12" t="s">
        <v>29</v>
      </c>
    </row>
    <row r="14" spans="1:3" ht="14.7" thickBot="1" x14ac:dyDescent="0.6">
      <c r="C14" s="13" t="s">
        <v>30</v>
      </c>
    </row>
    <row r="15" spans="1:3" ht="14.7" thickBot="1" x14ac:dyDescent="0.6"/>
    <row r="16" spans="1:3" x14ac:dyDescent="0.55000000000000004">
      <c r="C16" s="14" t="s">
        <v>18</v>
      </c>
    </row>
    <row r="17" spans="3:3" ht="14.7" thickBot="1" x14ac:dyDescent="0.6">
      <c r="C17" s="15" t="s">
        <v>35</v>
      </c>
    </row>
    <row r="18" spans="3:3" x14ac:dyDescent="0.55000000000000004">
      <c r="C18" s="12" t="s">
        <v>29</v>
      </c>
    </row>
    <row r="19" spans="3:3" ht="14.7" thickBot="1" x14ac:dyDescent="0.6">
      <c r="C19" s="13" t="s">
        <v>30</v>
      </c>
    </row>
  </sheetData>
  <hyperlinks>
    <hyperlink ref="A1" location="MAIN!A1" tooltip="click to travel to main page" display="MAIN" xr:uid="{AED050EB-C792-44C3-AB00-E8FC80156753}"/>
    <hyperlink ref="C8" location="'IS - Q'!A1" tooltip="click to travel to quarterly income statements" display="QUARTERS" xr:uid="{11061093-6770-40EC-AEDA-6D71A071A799}"/>
    <hyperlink ref="C9" location="'IS - Y'!A1" tooltip="click to travel to yearly income statements" display="YEARS" xr:uid="{3C9B5299-FD94-4A6F-839E-61FB941396BF}"/>
    <hyperlink ref="C3:C4" location="EV!A1" tooltip="click to travel to enterprise value" display="ENTERPRISE" xr:uid="{B452A9F4-6782-4070-A13A-30CB90403C6F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55B29-20EC-4477-824A-1DD17EAC389C}">
  <dimension ref="A1:F10"/>
  <sheetViews>
    <sheetView workbookViewId="0">
      <selection activeCell="E7" sqref="E7"/>
    </sheetView>
  </sheetViews>
  <sheetFormatPr defaultRowHeight="14.4" x14ac:dyDescent="0.55000000000000004"/>
  <cols>
    <col min="1" max="1" width="6.15625" bestFit="1" customWidth="1"/>
    <col min="3" max="3" width="7.68359375" bestFit="1" customWidth="1"/>
    <col min="4" max="4" width="3.68359375" bestFit="1" customWidth="1"/>
    <col min="5" max="5" width="7.578125" bestFit="1" customWidth="1"/>
    <col min="6" max="6" width="5.41796875" bestFit="1" customWidth="1"/>
    <col min="9" max="12" width="8.83984375" customWidth="1"/>
  </cols>
  <sheetData>
    <row r="1" spans="1:6" ht="14.7" thickBot="1" x14ac:dyDescent="0.6">
      <c r="A1" s="16" t="s">
        <v>28</v>
      </c>
    </row>
    <row r="2" spans="1:6" ht="14.7" thickBot="1" x14ac:dyDescent="0.6">
      <c r="A2" s="23"/>
    </row>
    <row r="3" spans="1:6" x14ac:dyDescent="0.55000000000000004">
      <c r="C3" s="24" t="s">
        <v>36</v>
      </c>
      <c r="D3" s="27"/>
      <c r="E3" s="25"/>
      <c r="F3" s="26"/>
    </row>
    <row r="4" spans="1:6" ht="14.7" thickBot="1" x14ac:dyDescent="0.6">
      <c r="C4" s="29" t="s">
        <v>47</v>
      </c>
      <c r="D4" s="30"/>
      <c r="E4" s="31"/>
      <c r="F4" s="32"/>
    </row>
    <row r="5" spans="1:6" ht="14.7" thickBot="1" x14ac:dyDescent="0.6">
      <c r="C5" s="28" t="s">
        <v>20</v>
      </c>
      <c r="D5" s="26"/>
      <c r="E5" s="35">
        <v>309.87</v>
      </c>
      <c r="F5" s="38"/>
    </row>
    <row r="6" spans="1:6" x14ac:dyDescent="0.55000000000000004">
      <c r="C6" s="34" t="s">
        <v>21</v>
      </c>
      <c r="D6" s="64" t="s">
        <v>39</v>
      </c>
      <c r="E6" s="36">
        <v>905.67352500000004</v>
      </c>
      <c r="F6" s="39" t="s">
        <v>46</v>
      </c>
    </row>
    <row r="7" spans="1:6" x14ac:dyDescent="0.55000000000000004">
      <c r="C7" s="34" t="s">
        <v>22</v>
      </c>
      <c r="D7" s="65"/>
      <c r="E7" s="36">
        <f>E5*E6</f>
        <v>280641.05519175</v>
      </c>
      <c r="F7" s="39"/>
    </row>
    <row r="8" spans="1:6" x14ac:dyDescent="0.55000000000000004">
      <c r="C8" s="34" t="s">
        <v>18</v>
      </c>
      <c r="D8" s="65"/>
      <c r="E8" s="36">
        <f>28596+3424</f>
        <v>32020</v>
      </c>
      <c r="F8" s="39" t="s">
        <v>46</v>
      </c>
    </row>
    <row r="9" spans="1:6" x14ac:dyDescent="0.55000000000000004">
      <c r="C9" s="34" t="s">
        <v>17</v>
      </c>
      <c r="D9" s="65"/>
      <c r="E9" s="36">
        <f>73495+5698</f>
        <v>79193</v>
      </c>
      <c r="F9" s="39" t="s">
        <v>46</v>
      </c>
    </row>
    <row r="10" spans="1:6" ht="14.7" thickBot="1" x14ac:dyDescent="0.6">
      <c r="C10" s="33" t="s">
        <v>19</v>
      </c>
      <c r="D10" s="66"/>
      <c r="E10" s="37">
        <f>E7-E8+E9</f>
        <v>327814.05519175</v>
      </c>
      <c r="F10" s="40"/>
    </row>
  </sheetData>
  <mergeCells count="1">
    <mergeCell ref="D6:D10"/>
  </mergeCells>
  <hyperlinks>
    <hyperlink ref="A1" location="MAIN!A1" tooltip="click to travel to main page" display="MAIN" xr:uid="{9CE72511-9816-4AAD-9304-5E46F55A9BA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7390C-CED7-4546-A332-1B8314A04998}">
  <dimension ref="A1:V26"/>
  <sheetViews>
    <sheetView zoomScaleNormal="100" workbookViewId="0">
      <pane xSplit="2" ySplit="2" topLeftCell="Q18" activePane="bottomRight" state="frozen"/>
      <selection pane="topRight" activeCell="C1" sqref="C1"/>
      <selection pane="bottomLeft" activeCell="A3" sqref="A3"/>
      <selection pane="bottomRight"/>
    </sheetView>
  </sheetViews>
  <sheetFormatPr defaultRowHeight="14.4" x14ac:dyDescent="0.55000000000000004"/>
  <cols>
    <col min="1" max="1" width="6.15625" bestFit="1" customWidth="1"/>
    <col min="2" max="2" width="23.83984375" bestFit="1" customWidth="1"/>
    <col min="3" max="20" width="7.26171875" bestFit="1" customWidth="1"/>
    <col min="21" max="21" width="8.26171875" bestFit="1" customWidth="1"/>
    <col min="22" max="22" width="7.734375" bestFit="1" customWidth="1"/>
  </cols>
  <sheetData>
    <row r="1" spans="1:22" ht="14.7" thickBot="1" x14ac:dyDescent="0.6">
      <c r="A1" s="16" t="s">
        <v>28</v>
      </c>
      <c r="C1" s="7">
        <v>2020</v>
      </c>
      <c r="D1" s="2"/>
      <c r="E1" s="2"/>
      <c r="F1" s="3"/>
      <c r="G1" s="7">
        <f>C1+1</f>
        <v>2021</v>
      </c>
      <c r="H1" s="2"/>
      <c r="I1" s="2"/>
      <c r="J1" s="3"/>
      <c r="K1" s="7">
        <f>G1+1</f>
        <v>2022</v>
      </c>
      <c r="L1" s="2"/>
      <c r="M1" s="2"/>
      <c r="N1" s="3"/>
      <c r="O1" s="7">
        <f>K1+1</f>
        <v>2023</v>
      </c>
      <c r="P1" s="2"/>
      <c r="Q1" s="2"/>
      <c r="R1" s="3"/>
      <c r="S1" s="7">
        <f>O1+1</f>
        <v>2024</v>
      </c>
      <c r="T1" s="2"/>
      <c r="U1" s="2"/>
      <c r="V1" s="3"/>
    </row>
    <row r="2" spans="1:22" ht="14.7" thickBot="1" x14ac:dyDescent="0.6">
      <c r="C2" s="4">
        <v>1</v>
      </c>
      <c r="D2" s="5">
        <f>C2+1</f>
        <v>2</v>
      </c>
      <c r="E2" s="5">
        <f t="shared" ref="E2:F2" si="0">D2+1</f>
        <v>3</v>
      </c>
      <c r="F2" s="6">
        <f t="shared" si="0"/>
        <v>4</v>
      </c>
      <c r="G2" s="4">
        <v>1</v>
      </c>
      <c r="H2" s="5">
        <f>G2+1</f>
        <v>2</v>
      </c>
      <c r="I2" s="5">
        <f t="shared" ref="I2:J2" si="1">H2+1</f>
        <v>3</v>
      </c>
      <c r="J2" s="6">
        <f t="shared" si="1"/>
        <v>4</v>
      </c>
      <c r="K2" s="4">
        <v>1</v>
      </c>
      <c r="L2" s="5">
        <f>K2+1</f>
        <v>2</v>
      </c>
      <c r="M2" s="5">
        <f t="shared" ref="M2:N2" si="2">L2+1</f>
        <v>3</v>
      </c>
      <c r="N2" s="6">
        <f t="shared" si="2"/>
        <v>4</v>
      </c>
      <c r="O2" s="4">
        <v>1</v>
      </c>
      <c r="P2" s="5">
        <f>O2+1</f>
        <v>2</v>
      </c>
      <c r="Q2" s="5">
        <f t="shared" ref="Q2:R2" si="3">P2+1</f>
        <v>3</v>
      </c>
      <c r="R2" s="6">
        <f t="shared" si="3"/>
        <v>4</v>
      </c>
      <c r="S2" s="4">
        <v>1</v>
      </c>
      <c r="T2" s="5">
        <f>S2+1</f>
        <v>2</v>
      </c>
      <c r="U2" s="5">
        <f t="shared" ref="U2:V2" si="4">T2+1</f>
        <v>3</v>
      </c>
      <c r="V2" s="6">
        <f t="shared" si="4"/>
        <v>4</v>
      </c>
    </row>
    <row r="3" spans="1:22" x14ac:dyDescent="0.55000000000000004">
      <c r="B3" t="s">
        <v>0</v>
      </c>
      <c r="C3" s="1">
        <v>50640</v>
      </c>
      <c r="D3" s="1">
        <v>49394</v>
      </c>
      <c r="E3" s="1">
        <v>50863</v>
      </c>
      <c r="F3" s="1">
        <f>'IS - Y'!D3-SUM('IS - Q'!C3:E3)</f>
        <v>50581</v>
      </c>
      <c r="G3" s="1">
        <v>55486</v>
      </c>
      <c r="H3" s="1">
        <v>56233</v>
      </c>
      <c r="I3" s="1">
        <v>56967</v>
      </c>
      <c r="J3" s="1">
        <f>'IS - Y'!E3-SUM('IS - Q'!G3:I3)</f>
        <v>57547</v>
      </c>
      <c r="K3" s="1">
        <v>64070</v>
      </c>
      <c r="L3" s="1">
        <v>63896</v>
      </c>
      <c r="M3" s="1">
        <v>64491</v>
      </c>
      <c r="N3" s="1">
        <f>'IS - Y'!F3-SUM('IS - Q'!K3:M3)</f>
        <v>64700</v>
      </c>
      <c r="O3" s="1">
        <v>72786</v>
      </c>
      <c r="P3" s="1">
        <v>72474</v>
      </c>
      <c r="Q3" s="1">
        <v>72339</v>
      </c>
      <c r="R3" s="1">
        <f>'IS - Y'!G3-SUM('IS - Q'!O3:Q3)</f>
        <v>73228</v>
      </c>
      <c r="S3" s="1">
        <v>77988</v>
      </c>
      <c r="T3" s="1">
        <v>76897</v>
      </c>
      <c r="U3" s="1">
        <v>77442</v>
      </c>
      <c r="V3" s="1">
        <f>308810-SUM(S3:U3)</f>
        <v>76483</v>
      </c>
    </row>
    <row r="4" spans="1:22" x14ac:dyDescent="0.55000000000000004">
      <c r="B4" t="s">
        <v>1</v>
      </c>
      <c r="C4" s="1">
        <v>8431</v>
      </c>
      <c r="D4" s="1">
        <v>8247</v>
      </c>
      <c r="E4" s="1">
        <v>8777</v>
      </c>
      <c r="F4" s="1">
        <f>'IS - Y'!D4-SUM('IS - Q'!C4:E4)</f>
        <v>8690</v>
      </c>
      <c r="G4" s="1">
        <v>8340</v>
      </c>
      <c r="H4" s="1">
        <v>8433</v>
      </c>
      <c r="I4" s="1">
        <v>8703</v>
      </c>
      <c r="J4" s="1">
        <f>'IS - Y'!E4-SUM('IS - Q'!G4:I4)</f>
        <v>8961</v>
      </c>
      <c r="K4" s="1">
        <v>9340</v>
      </c>
      <c r="L4" s="1">
        <v>9496</v>
      </c>
      <c r="M4" s="1">
        <v>9190</v>
      </c>
      <c r="N4" s="1">
        <f>'IS - Y'!F4-SUM('IS - Q'!K4:M4)</f>
        <v>9398</v>
      </c>
      <c r="O4" s="1">
        <v>10267</v>
      </c>
      <c r="P4" s="1">
        <v>10651</v>
      </c>
      <c r="Q4" s="1">
        <v>10354</v>
      </c>
      <c r="R4" s="1">
        <f>'IS - Y'!G4-SUM('IS - Q'!O4:Q4)</f>
        <v>11311</v>
      </c>
      <c r="S4" s="1">
        <v>11909</v>
      </c>
      <c r="T4" s="1">
        <v>12211</v>
      </c>
      <c r="U4" s="1">
        <v>12631</v>
      </c>
      <c r="V4" s="1">
        <f>50226-SUM(S4:U4)</f>
        <v>13475</v>
      </c>
    </row>
    <row r="5" spans="1:22" x14ac:dyDescent="0.55000000000000004">
      <c r="B5" t="s">
        <v>2</v>
      </c>
      <c r="C5" s="1">
        <v>4985</v>
      </c>
      <c r="D5" s="1">
        <v>4156</v>
      </c>
      <c r="E5" s="1">
        <v>5124</v>
      </c>
      <c r="F5" s="1">
        <f>'IS - Y'!D5-SUM('IS - Q'!C5:E5)</f>
        <v>5751</v>
      </c>
      <c r="G5" s="1">
        <v>5918</v>
      </c>
      <c r="H5" s="1">
        <v>6099</v>
      </c>
      <c r="I5" s="1">
        <v>6164</v>
      </c>
      <c r="J5" s="1">
        <f>'IS - Y'!E5-SUM('IS - Q'!G5:I5)</f>
        <v>6422</v>
      </c>
      <c r="K5" s="1">
        <v>6372</v>
      </c>
      <c r="L5" s="1">
        <v>6645</v>
      </c>
      <c r="M5" s="1">
        <v>6700</v>
      </c>
      <c r="N5" s="1">
        <f>'IS - Y'!F5-SUM('IS - Q'!K5:M5)</f>
        <v>7834</v>
      </c>
      <c r="O5" s="1">
        <v>8080</v>
      </c>
      <c r="P5" s="1">
        <v>8663</v>
      </c>
      <c r="Q5" s="1">
        <v>8671</v>
      </c>
      <c r="R5" s="1">
        <f>'IS - Y'!G5-SUM('IS - Q'!O5:Q5)</f>
        <v>8709</v>
      </c>
      <c r="S5" s="1">
        <v>8888</v>
      </c>
      <c r="T5" s="1">
        <v>8750</v>
      </c>
      <c r="U5" s="1">
        <v>9104</v>
      </c>
      <c r="V5" s="1">
        <f>36040-SUM(S5:U5)</f>
        <v>9298</v>
      </c>
    </row>
    <row r="6" spans="1:22" x14ac:dyDescent="0.55000000000000004">
      <c r="B6" t="s">
        <v>3</v>
      </c>
      <c r="C6" s="1">
        <v>365</v>
      </c>
      <c r="D6" s="1">
        <v>341</v>
      </c>
      <c r="E6" s="1">
        <v>351</v>
      </c>
      <c r="F6" s="1">
        <f>'IS - Y'!D6-SUM('IS - Q'!C6:E6)</f>
        <v>445</v>
      </c>
      <c r="G6" s="1">
        <v>452</v>
      </c>
      <c r="H6" s="1">
        <v>556</v>
      </c>
      <c r="I6" s="1">
        <v>503</v>
      </c>
      <c r="J6" s="1">
        <f>'IS - Y'!E6-SUM('IS - Q'!G6:I6)</f>
        <v>813</v>
      </c>
      <c r="K6" s="1">
        <v>367</v>
      </c>
      <c r="L6" s="1">
        <v>295</v>
      </c>
      <c r="M6" s="1">
        <v>513</v>
      </c>
      <c r="N6" s="1">
        <f>'IS - Y'!F6-SUM('IS - Q'!K6:M6)</f>
        <v>855</v>
      </c>
      <c r="O6" s="1">
        <v>798</v>
      </c>
      <c r="P6" s="1">
        <v>1115</v>
      </c>
      <c r="Q6" s="1">
        <v>997</v>
      </c>
      <c r="R6" s="1">
        <f>'IS - Y'!G6-SUM('IS - Q'!O6:Q6)</f>
        <v>1179</v>
      </c>
      <c r="S6" s="1">
        <v>1011</v>
      </c>
      <c r="T6" s="1">
        <v>997</v>
      </c>
      <c r="U6" s="1">
        <v>1643</v>
      </c>
      <c r="V6" s="1">
        <f>5202-SUM(S6:U6)</f>
        <v>1551</v>
      </c>
    </row>
    <row r="7" spans="1:22" x14ac:dyDescent="0.55000000000000004">
      <c r="B7" s="9" t="s">
        <v>4</v>
      </c>
      <c r="C7" s="10">
        <f t="shared" ref="C7:V7" si="5">SUM(C3:C6)</f>
        <v>64421</v>
      </c>
      <c r="D7" s="10">
        <f t="shared" si="5"/>
        <v>62138</v>
      </c>
      <c r="E7" s="10">
        <f t="shared" si="5"/>
        <v>65115</v>
      </c>
      <c r="F7" s="10">
        <f t="shared" si="5"/>
        <v>65467</v>
      </c>
      <c r="G7" s="10">
        <f t="shared" si="5"/>
        <v>70196</v>
      </c>
      <c r="H7" s="10">
        <f t="shared" si="5"/>
        <v>71321</v>
      </c>
      <c r="I7" s="10">
        <f t="shared" si="5"/>
        <v>72337</v>
      </c>
      <c r="J7" s="10">
        <f t="shared" si="5"/>
        <v>73743</v>
      </c>
      <c r="K7" s="10">
        <f t="shared" si="5"/>
        <v>80149</v>
      </c>
      <c r="L7" s="10">
        <f t="shared" si="5"/>
        <v>80332</v>
      </c>
      <c r="M7" s="10">
        <f t="shared" si="5"/>
        <v>80894</v>
      </c>
      <c r="N7" s="10">
        <f t="shared" si="5"/>
        <v>82787</v>
      </c>
      <c r="O7" s="10">
        <f t="shared" si="5"/>
        <v>91931</v>
      </c>
      <c r="P7" s="10">
        <f t="shared" si="5"/>
        <v>92903</v>
      </c>
      <c r="Q7" s="10">
        <f t="shared" si="5"/>
        <v>92361</v>
      </c>
      <c r="R7" s="10">
        <f t="shared" si="5"/>
        <v>94427</v>
      </c>
      <c r="S7" s="10">
        <f t="shared" si="5"/>
        <v>99796</v>
      </c>
      <c r="T7" s="10">
        <f t="shared" si="5"/>
        <v>98855</v>
      </c>
      <c r="U7" s="10">
        <f t="shared" si="5"/>
        <v>100820</v>
      </c>
      <c r="V7" s="10">
        <f t="shared" si="5"/>
        <v>100807</v>
      </c>
    </row>
    <row r="8" spans="1:22" x14ac:dyDescent="0.55000000000000004">
      <c r="B8" t="s">
        <v>5</v>
      </c>
      <c r="C8" s="1">
        <v>41000</v>
      </c>
      <c r="D8" s="1">
        <v>34678</v>
      </c>
      <c r="E8" s="1">
        <v>41636</v>
      </c>
      <c r="F8" s="1">
        <f>'IS - Y'!D8-SUM('IS - Q'!C8:E8)</f>
        <v>42082</v>
      </c>
      <c r="G8" s="1">
        <v>44904</v>
      </c>
      <c r="H8" s="1">
        <v>46546</v>
      </c>
      <c r="I8" s="1">
        <v>47302</v>
      </c>
      <c r="J8" s="1">
        <f>'IS - Y'!E8-SUM('IS - Q'!G8:I8)</f>
        <v>48159</v>
      </c>
      <c r="K8" s="1">
        <v>52523</v>
      </c>
      <c r="L8" s="1">
        <v>52093</v>
      </c>
      <c r="M8" s="1">
        <v>52635</v>
      </c>
      <c r="N8" s="1">
        <f>'IS - Y'!F8-SUM('IS - Q'!K8:M8)</f>
        <v>53591</v>
      </c>
      <c r="O8" s="1">
        <v>59845</v>
      </c>
      <c r="P8" s="1">
        <v>60268</v>
      </c>
      <c r="Q8" s="1">
        <v>59550</v>
      </c>
      <c r="R8" s="1">
        <f>'IS - Y'!G8-SUM('IS - Q'!O8:Q8)</f>
        <v>62231</v>
      </c>
      <c r="S8" s="1">
        <v>65735</v>
      </c>
      <c r="T8" s="1">
        <v>65458</v>
      </c>
      <c r="U8" s="1">
        <v>65957</v>
      </c>
      <c r="V8" s="1">
        <f>264185-SUM(S8:U8)</f>
        <v>67035</v>
      </c>
    </row>
    <row r="9" spans="1:22" x14ac:dyDescent="0.55000000000000004">
      <c r="B9" t="s">
        <v>6</v>
      </c>
      <c r="C9" s="1">
        <v>10015</v>
      </c>
      <c r="D9" s="1">
        <v>10001</v>
      </c>
      <c r="E9" s="1">
        <v>10174</v>
      </c>
      <c r="F9" s="1">
        <f>'IS - Y'!D9-SUM('IS - Q'!C9:E9)</f>
        <v>11514</v>
      </c>
      <c r="G9" s="1">
        <v>10223</v>
      </c>
      <c r="H9" s="1">
        <v>10359</v>
      </c>
      <c r="I9" s="1">
        <v>10725</v>
      </c>
      <c r="J9" s="1">
        <f>'IS - Y'!E9-SUM('IS - Q'!G9:I9)</f>
        <v>11272</v>
      </c>
      <c r="K9" s="1">
        <v>11401</v>
      </c>
      <c r="L9" s="1">
        <v>11709</v>
      </c>
      <c r="M9" s="1">
        <v>11663</v>
      </c>
      <c r="N9" s="1">
        <f>'IS - Y'!F9-SUM('IS - Q'!K9:M9)</f>
        <v>13009</v>
      </c>
      <c r="O9" s="1">
        <v>13625</v>
      </c>
      <c r="P9" s="1">
        <v>13809</v>
      </c>
      <c r="Q9" s="1">
        <v>13855</v>
      </c>
      <c r="R9" s="1">
        <f>'IS - Y'!G9-SUM('IS - Q'!O9:Q9)</f>
        <v>13339</v>
      </c>
      <c r="S9" s="1">
        <v>14077</v>
      </c>
      <c r="T9" s="1">
        <v>13162</v>
      </c>
      <c r="U9" s="1">
        <v>13280</v>
      </c>
      <c r="V9" s="1">
        <f>53013-SUM(S9:U9)</f>
        <v>12494</v>
      </c>
    </row>
    <row r="10" spans="1:22" x14ac:dyDescent="0.55000000000000004">
      <c r="B10" t="s">
        <v>7</v>
      </c>
      <c r="C10" s="1">
        <v>7687</v>
      </c>
      <c r="D10" s="1">
        <v>7501</v>
      </c>
      <c r="E10" s="1">
        <v>7935</v>
      </c>
      <c r="F10" s="1">
        <f>'IS - Y'!D10-SUM('IS - Q'!C10:E10)</f>
        <v>7622</v>
      </c>
      <c r="G10" s="1">
        <v>7572</v>
      </c>
      <c r="H10" s="1">
        <v>7660</v>
      </c>
      <c r="I10" s="1">
        <v>7802</v>
      </c>
      <c r="J10" s="1">
        <f>'IS - Y'!E10-SUM('IS - Q'!G10:I10)</f>
        <v>8000</v>
      </c>
      <c r="K10" s="1">
        <v>8487</v>
      </c>
      <c r="L10" s="1">
        <v>8596</v>
      </c>
      <c r="M10" s="1">
        <v>8306</v>
      </c>
      <c r="N10" s="1">
        <f>'IS - Y'!F10-SUM('IS - Q'!K10:M10)</f>
        <v>8314</v>
      </c>
      <c r="O10" s="1">
        <v>9405</v>
      </c>
      <c r="P10" s="1">
        <v>9748</v>
      </c>
      <c r="Q10" s="1">
        <v>9423</v>
      </c>
      <c r="R10" s="1">
        <f>'IS - Y'!G10-SUM('IS - Q'!O10:Q10)</f>
        <v>10194</v>
      </c>
      <c r="S10" s="1">
        <v>11056</v>
      </c>
      <c r="T10" s="1">
        <v>11340</v>
      </c>
      <c r="U10" s="1">
        <v>11834</v>
      </c>
      <c r="V10" s="1">
        <f>46694-SUM(S10:U10)</f>
        <v>12464</v>
      </c>
    </row>
    <row r="11" spans="1:22" x14ac:dyDescent="0.55000000000000004">
      <c r="B11" t="s">
        <v>8</v>
      </c>
      <c r="C11" s="1">
        <v>723</v>
      </c>
      <c r="D11" s="1">
        <v>717</v>
      </c>
      <c r="E11" s="1">
        <v>719</v>
      </c>
      <c r="F11" s="1">
        <f>'IS - Y'!D11-SUM('IS - Q'!C11:E11)</f>
        <v>732</v>
      </c>
      <c r="G11" s="1">
        <v>758</v>
      </c>
      <c r="H11" s="1">
        <v>778</v>
      </c>
      <c r="I11" s="1">
        <v>796</v>
      </c>
      <c r="J11" s="1">
        <f>'IS - Y'!E11-SUM('IS - Q'!G11:I11)</f>
        <v>771</v>
      </c>
      <c r="K11" s="1">
        <v>788</v>
      </c>
      <c r="L11" s="1">
        <v>802</v>
      </c>
      <c r="M11" s="1">
        <v>828</v>
      </c>
      <c r="N11" s="1">
        <f>'IS - Y'!F11-SUM('IS - Q'!K11:M11)</f>
        <v>982</v>
      </c>
      <c r="O11" s="1">
        <v>970</v>
      </c>
      <c r="P11" s="1">
        <v>1021</v>
      </c>
      <c r="Q11" s="1">
        <v>1007</v>
      </c>
      <c r="R11" s="1">
        <f>'IS - Y'!G11-SUM('IS - Q'!O11:Q11)</f>
        <v>974</v>
      </c>
      <c r="S11" s="1">
        <v>997</v>
      </c>
      <c r="T11" s="1">
        <v>1020</v>
      </c>
      <c r="U11" s="1">
        <v>1041</v>
      </c>
      <c r="V11" s="1">
        <f>4099-SUM(S11:U11)</f>
        <v>1041</v>
      </c>
    </row>
    <row r="12" spans="1:22" x14ac:dyDescent="0.55000000000000004">
      <c r="B12" s="9" t="s">
        <v>9</v>
      </c>
      <c r="C12" s="10">
        <f t="shared" ref="C12:V12" si="6">SUM(C8:C11)</f>
        <v>59425</v>
      </c>
      <c r="D12" s="10">
        <f t="shared" si="6"/>
        <v>52897</v>
      </c>
      <c r="E12" s="10">
        <f t="shared" si="6"/>
        <v>60464</v>
      </c>
      <c r="F12" s="10">
        <f t="shared" si="6"/>
        <v>61950</v>
      </c>
      <c r="G12" s="10">
        <f t="shared" si="6"/>
        <v>63457</v>
      </c>
      <c r="H12" s="10">
        <f t="shared" si="6"/>
        <v>65343</v>
      </c>
      <c r="I12" s="10">
        <f t="shared" si="6"/>
        <v>66625</v>
      </c>
      <c r="J12" s="10">
        <f t="shared" si="6"/>
        <v>68202</v>
      </c>
      <c r="K12" s="10">
        <f t="shared" si="6"/>
        <v>73199</v>
      </c>
      <c r="L12" s="10">
        <f t="shared" si="6"/>
        <v>73200</v>
      </c>
      <c r="M12" s="10">
        <f t="shared" si="6"/>
        <v>73432</v>
      </c>
      <c r="N12" s="10">
        <f t="shared" si="6"/>
        <v>75896</v>
      </c>
      <c r="O12" s="10">
        <f t="shared" si="6"/>
        <v>83845</v>
      </c>
      <c r="P12" s="10">
        <f t="shared" si="6"/>
        <v>84846</v>
      </c>
      <c r="Q12" s="10">
        <f t="shared" si="6"/>
        <v>83835</v>
      </c>
      <c r="R12" s="10">
        <f t="shared" si="6"/>
        <v>86738</v>
      </c>
      <c r="S12" s="10">
        <f t="shared" si="6"/>
        <v>91865</v>
      </c>
      <c r="T12" s="10">
        <f t="shared" si="6"/>
        <v>90980</v>
      </c>
      <c r="U12" s="10">
        <f t="shared" si="6"/>
        <v>92112</v>
      </c>
      <c r="V12" s="10">
        <f t="shared" si="6"/>
        <v>93034</v>
      </c>
    </row>
    <row r="13" spans="1:22" ht="14.7" thickBot="1" x14ac:dyDescent="0.6">
      <c r="B13" s="9" t="s">
        <v>10</v>
      </c>
      <c r="C13" s="11">
        <f t="shared" ref="C13:V13" si="7">C7-C12</f>
        <v>4996</v>
      </c>
      <c r="D13" s="11">
        <f t="shared" si="7"/>
        <v>9241</v>
      </c>
      <c r="E13" s="11">
        <f t="shared" si="7"/>
        <v>4651</v>
      </c>
      <c r="F13" s="11">
        <f t="shared" si="7"/>
        <v>3517</v>
      </c>
      <c r="G13" s="11">
        <f t="shared" si="7"/>
        <v>6739</v>
      </c>
      <c r="H13" s="11">
        <f t="shared" si="7"/>
        <v>5978</v>
      </c>
      <c r="I13" s="11">
        <f t="shared" si="7"/>
        <v>5712</v>
      </c>
      <c r="J13" s="11">
        <f t="shared" si="7"/>
        <v>5541</v>
      </c>
      <c r="K13" s="11">
        <f t="shared" si="7"/>
        <v>6950</v>
      </c>
      <c r="L13" s="11">
        <f t="shared" si="7"/>
        <v>7132</v>
      </c>
      <c r="M13" s="11">
        <f t="shared" si="7"/>
        <v>7462</v>
      </c>
      <c r="N13" s="11">
        <f t="shared" si="7"/>
        <v>6891</v>
      </c>
      <c r="O13" s="11">
        <f t="shared" si="7"/>
        <v>8086</v>
      </c>
      <c r="P13" s="11">
        <f t="shared" si="7"/>
        <v>8057</v>
      </c>
      <c r="Q13" s="11">
        <f t="shared" si="7"/>
        <v>8526</v>
      </c>
      <c r="R13" s="11">
        <f t="shared" si="7"/>
        <v>7689</v>
      </c>
      <c r="S13" s="11">
        <f t="shared" si="7"/>
        <v>7931</v>
      </c>
      <c r="T13" s="11">
        <f t="shared" si="7"/>
        <v>7875</v>
      </c>
      <c r="U13" s="11">
        <f t="shared" si="7"/>
        <v>8708</v>
      </c>
      <c r="V13" s="11">
        <f t="shared" si="7"/>
        <v>7773</v>
      </c>
    </row>
    <row r="14" spans="1:22" ht="14.7" thickTop="1" x14ac:dyDescent="0.55000000000000004">
      <c r="B14" t="s">
        <v>11</v>
      </c>
      <c r="C14" s="1">
        <v>-437</v>
      </c>
      <c r="D14" s="1">
        <v>-430</v>
      </c>
      <c r="E14" s="1">
        <v>-395</v>
      </c>
      <c r="F14" s="1">
        <f>'IS - Y'!D14-SUM('IS - Q'!C14:E14)</f>
        <v>-401</v>
      </c>
      <c r="G14" s="1">
        <v>-397</v>
      </c>
      <c r="H14" s="1">
        <v>-410</v>
      </c>
      <c r="I14" s="1">
        <v>-422</v>
      </c>
      <c r="J14" s="1">
        <f>'IS - Y'!E14-SUM('IS - Q'!G14:I14)</f>
        <v>-431</v>
      </c>
      <c r="K14" s="1">
        <v>-433</v>
      </c>
      <c r="L14" s="1">
        <v>-467</v>
      </c>
      <c r="M14" s="1">
        <v>-516</v>
      </c>
      <c r="N14" s="1">
        <f>'IS - Y'!F14-SUM('IS - Q'!K14:M14)</f>
        <v>-676</v>
      </c>
      <c r="O14" s="1">
        <v>-754</v>
      </c>
      <c r="P14" s="1">
        <v>-828</v>
      </c>
      <c r="Q14" s="1">
        <v>-834</v>
      </c>
      <c r="R14" s="1">
        <f>'IS - Y'!G14-SUM('IS - Q'!O14:Q14)</f>
        <v>-830</v>
      </c>
      <c r="S14" s="1">
        <v>-844</v>
      </c>
      <c r="T14" s="1">
        <v>-985</v>
      </c>
      <c r="U14" s="1">
        <v>-1074</v>
      </c>
      <c r="V14" s="1">
        <f>-3906-SUM(S14:U14)</f>
        <v>-1003</v>
      </c>
    </row>
    <row r="15" spans="1:22" x14ac:dyDescent="0.55000000000000004">
      <c r="B15" t="s">
        <v>12</v>
      </c>
      <c r="C15" s="1">
        <v>0</v>
      </c>
      <c r="D15" s="1">
        <v>0</v>
      </c>
      <c r="E15" s="1">
        <v>0</v>
      </c>
      <c r="F15" s="1">
        <f>'IS - Y'!D15-SUM('IS - Q'!C15:E15)</f>
        <v>0</v>
      </c>
      <c r="G15" s="1">
        <v>0</v>
      </c>
      <c r="H15" s="1">
        <v>0</v>
      </c>
      <c r="I15" s="1">
        <v>0</v>
      </c>
      <c r="J15" s="1">
        <f>'IS - Y'!E15-SUM('IS - Q'!G15:I15)</f>
        <v>0</v>
      </c>
      <c r="K15" s="1">
        <v>0</v>
      </c>
      <c r="L15" s="1">
        <v>0</v>
      </c>
      <c r="M15" s="1">
        <v>0</v>
      </c>
      <c r="N15" s="1">
        <f>'IS - Y'!F15-SUM('IS - Q'!K15:M15)</f>
        <v>0</v>
      </c>
      <c r="O15" s="1">
        <v>0</v>
      </c>
      <c r="P15" s="1">
        <v>0</v>
      </c>
      <c r="Q15" s="1">
        <v>0</v>
      </c>
      <c r="R15" s="1">
        <f>'IS - Y'!G15-SUM('IS - Q'!O15:Q15)</f>
        <v>0</v>
      </c>
      <c r="S15" s="1">
        <v>-7086</v>
      </c>
      <c r="T15" s="1">
        <v>-1225</v>
      </c>
      <c r="U15" s="1">
        <v>-20</v>
      </c>
      <c r="V15" s="1">
        <f>-8310-SUM(S15:U15)</f>
        <v>21</v>
      </c>
    </row>
    <row r="16" spans="1:22" x14ac:dyDescent="0.55000000000000004">
      <c r="B16" t="s">
        <v>13</v>
      </c>
      <c r="C16" s="1">
        <v>-1094</v>
      </c>
      <c r="D16" s="1">
        <v>-2115</v>
      </c>
      <c r="E16" s="1">
        <v>-1000</v>
      </c>
      <c r="F16" s="1">
        <f>'IS - Y'!D16-SUM('IS - Q'!C16:E16)</f>
        <v>-764</v>
      </c>
      <c r="G16" s="1">
        <v>-1364</v>
      </c>
      <c r="H16" s="1">
        <v>-1196</v>
      </c>
      <c r="I16" s="1">
        <v>-1562</v>
      </c>
      <c r="J16" s="1">
        <f>'IS - Y'!E16-SUM('IS - Q'!G16:I16)</f>
        <v>-456</v>
      </c>
      <c r="K16" s="1">
        <v>-1369</v>
      </c>
      <c r="L16" s="1">
        <v>-1466</v>
      </c>
      <c r="M16" s="1">
        <v>-1562</v>
      </c>
      <c r="N16" s="1">
        <f>'IS - Y'!F16-SUM('IS - Q'!K16:M16)</f>
        <v>-1307</v>
      </c>
      <c r="O16" s="1">
        <v>-1558</v>
      </c>
      <c r="P16" s="1">
        <v>-1572</v>
      </c>
      <c r="Q16" s="1">
        <v>-1654</v>
      </c>
      <c r="R16" s="1">
        <f>'IS - Y'!G16-SUM('IS - Q'!O16:Q16)</f>
        <v>-1184</v>
      </c>
      <c r="S16" s="1">
        <v>-1222</v>
      </c>
      <c r="T16" s="1">
        <v>-1244</v>
      </c>
      <c r="U16" s="1">
        <v>-1356</v>
      </c>
      <c r="V16" s="1">
        <f>-4829-SUM(S16:U16)</f>
        <v>-1007</v>
      </c>
    </row>
    <row r="17" spans="2:22" ht="14.7" thickBot="1" x14ac:dyDescent="0.6">
      <c r="B17" s="9" t="s">
        <v>14</v>
      </c>
      <c r="C17" s="11">
        <f t="shared" ref="C17:V17" si="8">SUM(C13:C16)</f>
        <v>3465</v>
      </c>
      <c r="D17" s="11">
        <f t="shared" si="8"/>
        <v>6696</v>
      </c>
      <c r="E17" s="11">
        <f t="shared" si="8"/>
        <v>3256</v>
      </c>
      <c r="F17" s="11">
        <f t="shared" si="8"/>
        <v>2352</v>
      </c>
      <c r="G17" s="11">
        <f t="shared" si="8"/>
        <v>4978</v>
      </c>
      <c r="H17" s="11">
        <f t="shared" si="8"/>
        <v>4372</v>
      </c>
      <c r="I17" s="11">
        <f t="shared" si="8"/>
        <v>3728</v>
      </c>
      <c r="J17" s="11">
        <f t="shared" si="8"/>
        <v>4654</v>
      </c>
      <c r="K17" s="11">
        <f t="shared" si="8"/>
        <v>5148</v>
      </c>
      <c r="L17" s="11">
        <f t="shared" si="8"/>
        <v>5199</v>
      </c>
      <c r="M17" s="11">
        <f t="shared" si="8"/>
        <v>5384</v>
      </c>
      <c r="N17" s="11">
        <f t="shared" si="8"/>
        <v>4908</v>
      </c>
      <c r="O17" s="11">
        <f t="shared" si="8"/>
        <v>5774</v>
      </c>
      <c r="P17" s="11">
        <f t="shared" si="8"/>
        <v>5657</v>
      </c>
      <c r="Q17" s="11">
        <f t="shared" si="8"/>
        <v>6038</v>
      </c>
      <c r="R17" s="11">
        <f t="shared" si="8"/>
        <v>5675</v>
      </c>
      <c r="S17" s="11">
        <f t="shared" si="8"/>
        <v>-1221</v>
      </c>
      <c r="T17" s="11">
        <f t="shared" si="8"/>
        <v>4421</v>
      </c>
      <c r="U17" s="11">
        <f t="shared" si="8"/>
        <v>6258</v>
      </c>
      <c r="V17" s="11">
        <f t="shared" si="8"/>
        <v>5784</v>
      </c>
    </row>
    <row r="18" spans="2:22" ht="14.7" thickTop="1" x14ac:dyDescent="0.55000000000000004"/>
    <row r="23" spans="2:22" x14ac:dyDescent="0.55000000000000004">
      <c r="B23" t="s">
        <v>27</v>
      </c>
      <c r="C23" s="8">
        <f t="shared" ref="C23:U23" si="9">C13/C7</f>
        <v>7.7552350941463191E-2</v>
      </c>
      <c r="D23" s="8">
        <f t="shared" si="9"/>
        <v>0.14871737101290675</v>
      </c>
      <c r="E23" s="8">
        <f t="shared" si="9"/>
        <v>7.1427474468248486E-2</v>
      </c>
      <c r="F23" s="8">
        <f t="shared" si="9"/>
        <v>5.3721722394488823E-2</v>
      </c>
      <c r="G23" s="8">
        <f t="shared" si="9"/>
        <v>9.600262123197903E-2</v>
      </c>
      <c r="H23" s="8">
        <f t="shared" si="9"/>
        <v>8.3818230254763676E-2</v>
      </c>
      <c r="I23" s="8">
        <f t="shared" si="9"/>
        <v>7.8963739165295768E-2</v>
      </c>
      <c r="J23" s="8">
        <f t="shared" si="9"/>
        <v>7.5139335258939829E-2</v>
      </c>
      <c r="K23" s="8">
        <f t="shared" si="9"/>
        <v>8.6713496113488622E-2</v>
      </c>
      <c r="L23" s="8">
        <f t="shared" si="9"/>
        <v>8.878155654035752E-2</v>
      </c>
      <c r="M23" s="8">
        <f t="shared" si="9"/>
        <v>9.2244171384775142E-2</v>
      </c>
      <c r="N23" s="8">
        <f t="shared" si="9"/>
        <v>8.3237706403179249E-2</v>
      </c>
      <c r="O23" s="8">
        <f t="shared" si="9"/>
        <v>8.7957272302052622E-2</v>
      </c>
      <c r="P23" s="8">
        <f t="shared" si="9"/>
        <v>8.6724863567376728E-2</v>
      </c>
      <c r="Q23" s="8">
        <f t="shared" si="9"/>
        <v>9.2311689999025559E-2</v>
      </c>
      <c r="R23" s="8">
        <f t="shared" si="9"/>
        <v>8.1427981403623964E-2</v>
      </c>
      <c r="S23" s="8">
        <f t="shared" si="9"/>
        <v>7.9472123131187622E-2</v>
      </c>
      <c r="T23" s="8">
        <f t="shared" si="9"/>
        <v>7.9662131404582476E-2</v>
      </c>
      <c r="U23" s="8">
        <f t="shared" si="9"/>
        <v>8.6371751636580049E-2</v>
      </c>
      <c r="V23" s="8">
        <f t="shared" ref="V23" si="10">V13/V7</f>
        <v>7.7107740533891495E-2</v>
      </c>
    </row>
    <row r="24" spans="2:22" x14ac:dyDescent="0.55000000000000004">
      <c r="B24" t="s">
        <v>16</v>
      </c>
      <c r="C24" s="8">
        <f t="shared" ref="C24:U24" si="11">C17/C7</f>
        <v>5.3786808649353472E-2</v>
      </c>
      <c r="D24" s="8">
        <f t="shared" si="11"/>
        <v>0.10776014677009238</v>
      </c>
      <c r="E24" s="8">
        <f t="shared" si="11"/>
        <v>5.0003839361130308E-2</v>
      </c>
      <c r="F24" s="8">
        <f t="shared" si="11"/>
        <v>3.5926497319260085E-2</v>
      </c>
      <c r="G24" s="8">
        <f t="shared" si="11"/>
        <v>7.0915721693543793E-2</v>
      </c>
      <c r="H24" s="8">
        <f t="shared" si="11"/>
        <v>6.1300318279328671E-2</v>
      </c>
      <c r="I24" s="8">
        <f t="shared" si="11"/>
        <v>5.1536558054660821E-2</v>
      </c>
      <c r="J24" s="8">
        <f t="shared" si="11"/>
        <v>6.3111074949486728E-2</v>
      </c>
      <c r="K24" s="8">
        <f t="shared" si="11"/>
        <v>6.4230370934135167E-2</v>
      </c>
      <c r="L24" s="8">
        <f t="shared" si="11"/>
        <v>6.4718916496539367E-2</v>
      </c>
      <c r="M24" s="8">
        <f t="shared" si="11"/>
        <v>6.6556234084110072E-2</v>
      </c>
      <c r="N24" s="8">
        <f t="shared" si="11"/>
        <v>5.9284670298476817E-2</v>
      </c>
      <c r="O24" s="8">
        <f t="shared" si="11"/>
        <v>6.2807975546877545E-2</v>
      </c>
      <c r="P24" s="8">
        <f t="shared" si="11"/>
        <v>6.0891467444538924E-2</v>
      </c>
      <c r="Q24" s="8">
        <f t="shared" si="11"/>
        <v>6.5373913231775313E-2</v>
      </c>
      <c r="R24" s="8">
        <f t="shared" si="11"/>
        <v>6.0099335995001432E-2</v>
      </c>
      <c r="S24" s="8">
        <f t="shared" si="11"/>
        <v>-1.2234959317006694E-2</v>
      </c>
      <c r="T24" s="8">
        <f t="shared" si="11"/>
        <v>4.4722067674877346E-2</v>
      </c>
      <c r="U24" s="8">
        <f t="shared" si="11"/>
        <v>6.2071017655227136E-2</v>
      </c>
      <c r="V24" s="8">
        <f t="shared" ref="V24" si="12">V17/V7</f>
        <v>5.737696786929479E-2</v>
      </c>
    </row>
    <row r="25" spans="2:22" x14ac:dyDescent="0.55000000000000004">
      <c r="B25" t="s">
        <v>25</v>
      </c>
      <c r="C25" s="8"/>
      <c r="D25" s="8">
        <f>D7/C7-1</f>
        <v>-3.5438754443426812E-2</v>
      </c>
      <c r="E25" s="8">
        <f t="shared" ref="E25:V25" si="13">E7/D7-1</f>
        <v>4.7909491776368718E-2</v>
      </c>
      <c r="F25" s="8">
        <f t="shared" si="13"/>
        <v>5.4058204714735325E-3</v>
      </c>
      <c r="G25" s="8">
        <f t="shared" si="13"/>
        <v>7.2234866421250432E-2</v>
      </c>
      <c r="H25" s="8">
        <f t="shared" si="13"/>
        <v>1.6026554219613631E-2</v>
      </c>
      <c r="I25" s="8">
        <f t="shared" si="13"/>
        <v>1.4245453653201734E-2</v>
      </c>
      <c r="J25" s="8">
        <f t="shared" si="13"/>
        <v>1.9436802742718085E-2</v>
      </c>
      <c r="K25" s="8">
        <f t="shared" si="13"/>
        <v>8.6869262167256656E-2</v>
      </c>
      <c r="L25" s="8">
        <f t="shared" si="13"/>
        <v>2.2832474516214507E-3</v>
      </c>
      <c r="M25" s="8">
        <f t="shared" si="13"/>
        <v>6.9959667380370405E-3</v>
      </c>
      <c r="N25" s="8">
        <f t="shared" si="13"/>
        <v>2.3400993893242905E-2</v>
      </c>
      <c r="O25" s="8">
        <f t="shared" si="13"/>
        <v>0.11045212412576855</v>
      </c>
      <c r="P25" s="8">
        <f t="shared" si="13"/>
        <v>1.0573147251743187E-2</v>
      </c>
      <c r="Q25" s="8">
        <f t="shared" si="13"/>
        <v>-5.8340419577408431E-3</v>
      </c>
      <c r="R25" s="8">
        <f t="shared" si="13"/>
        <v>2.236874871428407E-2</v>
      </c>
      <c r="S25" s="8">
        <f t="shared" si="13"/>
        <v>5.6858737437385454E-2</v>
      </c>
      <c r="T25" s="8">
        <f t="shared" si="13"/>
        <v>-9.4292356407070788E-3</v>
      </c>
      <c r="U25" s="8">
        <f t="shared" si="13"/>
        <v>1.9877598502857641E-2</v>
      </c>
      <c r="V25" s="8">
        <f t="shared" si="13"/>
        <v>-1.289426701051033E-4</v>
      </c>
    </row>
    <row r="26" spans="2:22" x14ac:dyDescent="0.55000000000000004">
      <c r="B26" t="s">
        <v>26</v>
      </c>
      <c r="C26" s="8"/>
      <c r="D26" s="8">
        <f>D12/C12-1</f>
        <v>-0.10985275557425322</v>
      </c>
      <c r="E26" s="8">
        <f t="shared" ref="E26:V26" si="14">E12/D12-1</f>
        <v>0.14305159082745722</v>
      </c>
      <c r="F26" s="8">
        <f t="shared" si="14"/>
        <v>2.457660756813973E-2</v>
      </c>
      <c r="G26" s="8">
        <f t="shared" si="14"/>
        <v>2.4326069410815165E-2</v>
      </c>
      <c r="H26" s="8">
        <f t="shared" si="14"/>
        <v>2.9720913374410962E-2</v>
      </c>
      <c r="I26" s="8">
        <f t="shared" si="14"/>
        <v>1.9619546087568773E-2</v>
      </c>
      <c r="J26" s="8">
        <f t="shared" si="14"/>
        <v>2.3669793621013069E-2</v>
      </c>
      <c r="K26" s="8">
        <f t="shared" si="14"/>
        <v>7.3267646110084739E-2</v>
      </c>
      <c r="L26" s="8">
        <f t="shared" si="14"/>
        <v>1.3661388816865738E-5</v>
      </c>
      <c r="M26" s="8">
        <f t="shared" si="14"/>
        <v>3.1693989071037709E-3</v>
      </c>
      <c r="N26" s="8">
        <f t="shared" si="14"/>
        <v>3.3554853469876855E-2</v>
      </c>
      <c r="O26" s="8">
        <f t="shared" si="14"/>
        <v>0.10473542742700537</v>
      </c>
      <c r="P26" s="8">
        <f t="shared" si="14"/>
        <v>1.1938696404078852E-2</v>
      </c>
      <c r="Q26" s="8">
        <f t="shared" si="14"/>
        <v>-1.1915706102821555E-2</v>
      </c>
      <c r="R26" s="8">
        <f t="shared" si="14"/>
        <v>3.4627542195980299E-2</v>
      </c>
      <c r="S26" s="8">
        <f t="shared" si="14"/>
        <v>5.9109041020083408E-2</v>
      </c>
      <c r="T26" s="8">
        <f t="shared" si="14"/>
        <v>-9.6337016273879694E-3</v>
      </c>
      <c r="U26" s="8">
        <f t="shared" si="14"/>
        <v>1.2442295009892357E-2</v>
      </c>
      <c r="V26" s="8">
        <f t="shared" si="14"/>
        <v>1.0009553586937558E-2</v>
      </c>
    </row>
  </sheetData>
  <hyperlinks>
    <hyperlink ref="A1" location="MAIN!A1" tooltip="click to travel to main page" display="MAIN" xr:uid="{B932A32B-A988-4C38-8A86-28BEB0F67675}"/>
  </hyperlinks>
  <pageMargins left="0.7" right="0.7" top="0.75" bottom="0.75" header="0.3" footer="0.3"/>
  <ignoredErrors>
    <ignoredError sqref="T7:U7 O7:S7 K7 G7 C7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88499-3247-4B46-B85D-44CAD6C9F224}">
  <dimension ref="A1:CB180"/>
  <sheetViews>
    <sheetView tabSelected="1" zoomScale="75" zoomScaleNormal="75" workbookViewId="0">
      <pane xSplit="2" ySplit="2" topLeftCell="C52" activePane="bottomRight" state="frozen"/>
      <selection pane="topRight" activeCell="C1" sqref="C1"/>
      <selection pane="bottomLeft" activeCell="A3" sqref="A3"/>
      <selection pane="bottomRight" activeCell="E84" sqref="E84"/>
    </sheetView>
  </sheetViews>
  <sheetFormatPr defaultRowHeight="14.4" x14ac:dyDescent="0.55000000000000004"/>
  <cols>
    <col min="1" max="1" width="5.3671875" bestFit="1" customWidth="1"/>
    <col min="2" max="2" width="69.9453125" bestFit="1" customWidth="1"/>
    <col min="3" max="18" width="7.83984375" bestFit="1" customWidth="1"/>
    <col min="19" max="19" width="10.83984375" bestFit="1" customWidth="1"/>
    <col min="20" max="20" width="7.734375" bestFit="1" customWidth="1"/>
    <col min="21" max="79" width="6.83984375" bestFit="1" customWidth="1"/>
    <col min="80" max="80" width="7.83984375" bestFit="1" customWidth="1"/>
    <col min="81" max="100" width="6.83984375" bestFit="1" customWidth="1"/>
  </cols>
  <sheetData>
    <row r="1" spans="1:80" ht="14.7" thickBot="1" x14ac:dyDescent="0.6">
      <c r="A1" s="16" t="s">
        <v>28</v>
      </c>
      <c r="C1" s="14" t="s">
        <v>15</v>
      </c>
      <c r="D1" s="14" t="s">
        <v>15</v>
      </c>
      <c r="E1" s="14" t="s">
        <v>15</v>
      </c>
      <c r="F1" s="14" t="s">
        <v>15</v>
      </c>
      <c r="G1" s="14" t="s">
        <v>15</v>
      </c>
      <c r="H1" s="14" t="s">
        <v>15</v>
      </c>
      <c r="I1" s="14" t="s">
        <v>15</v>
      </c>
      <c r="J1" s="14" t="s">
        <v>15</v>
      </c>
      <c r="K1" s="14" t="s">
        <v>15</v>
      </c>
      <c r="L1" s="14" t="s">
        <v>15</v>
      </c>
      <c r="M1" s="14" t="s">
        <v>15</v>
      </c>
      <c r="N1" s="14" t="s">
        <v>15</v>
      </c>
      <c r="O1" s="14" t="s">
        <v>15</v>
      </c>
      <c r="P1" s="14" t="s">
        <v>15</v>
      </c>
      <c r="Q1" s="14" t="s">
        <v>15</v>
      </c>
      <c r="R1" s="14" t="s">
        <v>15</v>
      </c>
      <c r="S1" s="14" t="s">
        <v>15</v>
      </c>
      <c r="T1" s="14" t="s">
        <v>15</v>
      </c>
      <c r="U1" s="14" t="s">
        <v>15</v>
      </c>
      <c r="V1" s="14" t="s">
        <v>15</v>
      </c>
      <c r="W1" s="14" t="s">
        <v>15</v>
      </c>
      <c r="X1" s="14" t="s">
        <v>15</v>
      </c>
      <c r="Y1" s="14" t="s">
        <v>15</v>
      </c>
      <c r="Z1" s="14" t="s">
        <v>15</v>
      </c>
      <c r="AA1" s="14" t="s">
        <v>15</v>
      </c>
      <c r="AB1" s="14" t="s">
        <v>15</v>
      </c>
      <c r="AC1" s="14" t="s">
        <v>15</v>
      </c>
      <c r="AD1" s="14" t="s">
        <v>15</v>
      </c>
      <c r="AE1" s="14" t="s">
        <v>15</v>
      </c>
      <c r="AF1" s="14" t="s">
        <v>15</v>
      </c>
      <c r="AG1" s="14" t="s">
        <v>15</v>
      </c>
      <c r="AH1" s="14" t="s">
        <v>15</v>
      </c>
      <c r="AI1" s="14" t="s">
        <v>15</v>
      </c>
      <c r="AJ1" s="14" t="s">
        <v>15</v>
      </c>
      <c r="AK1" s="14" t="s">
        <v>15</v>
      </c>
      <c r="AL1" s="14" t="s">
        <v>15</v>
      </c>
      <c r="AM1" s="14" t="s">
        <v>15</v>
      </c>
      <c r="AN1" s="14" t="s">
        <v>15</v>
      </c>
      <c r="AO1" s="14" t="s">
        <v>15</v>
      </c>
      <c r="AP1" s="14" t="s">
        <v>15</v>
      </c>
      <c r="AQ1" s="14" t="s">
        <v>15</v>
      </c>
      <c r="AR1" s="14" t="s">
        <v>15</v>
      </c>
      <c r="AS1" s="14" t="s">
        <v>15</v>
      </c>
      <c r="AT1" s="14" t="s">
        <v>15</v>
      </c>
      <c r="AU1" s="14" t="s">
        <v>15</v>
      </c>
      <c r="AV1" s="14" t="s">
        <v>15</v>
      </c>
      <c r="AW1" s="14" t="s">
        <v>15</v>
      </c>
      <c r="AX1" s="14" t="s">
        <v>15</v>
      </c>
      <c r="AY1" s="14" t="s">
        <v>15</v>
      </c>
      <c r="AZ1" s="14" t="s">
        <v>15</v>
      </c>
      <c r="BA1" s="14" t="s">
        <v>15</v>
      </c>
      <c r="BB1" s="14" t="s">
        <v>15</v>
      </c>
      <c r="BC1" s="14" t="s">
        <v>15</v>
      </c>
      <c r="BD1" s="14" t="s">
        <v>15</v>
      </c>
      <c r="BE1" s="14" t="s">
        <v>15</v>
      </c>
      <c r="BF1" s="14" t="s">
        <v>15</v>
      </c>
      <c r="BG1" s="14" t="s">
        <v>15</v>
      </c>
      <c r="BH1" s="14" t="s">
        <v>15</v>
      </c>
      <c r="BI1" s="14" t="s">
        <v>15</v>
      </c>
      <c r="BJ1" s="14" t="s">
        <v>15</v>
      </c>
      <c r="BK1" s="14" t="s">
        <v>15</v>
      </c>
      <c r="BL1" s="14" t="s">
        <v>15</v>
      </c>
      <c r="BM1" s="14" t="s">
        <v>15</v>
      </c>
      <c r="BN1" s="14" t="s">
        <v>15</v>
      </c>
      <c r="BO1" s="14" t="s">
        <v>15</v>
      </c>
      <c r="BP1" s="14" t="s">
        <v>15</v>
      </c>
      <c r="BQ1" s="14" t="s">
        <v>15</v>
      </c>
      <c r="BR1" s="14" t="s">
        <v>15</v>
      </c>
      <c r="BS1" s="14" t="s">
        <v>15</v>
      </c>
      <c r="BT1" s="14" t="s">
        <v>15</v>
      </c>
      <c r="BU1" s="14" t="s">
        <v>15</v>
      </c>
      <c r="BV1" s="14" t="s">
        <v>15</v>
      </c>
      <c r="BW1" s="14" t="s">
        <v>15</v>
      </c>
      <c r="BX1" s="14" t="s">
        <v>15</v>
      </c>
      <c r="BY1" s="14" t="s">
        <v>15</v>
      </c>
      <c r="BZ1" s="14" t="s">
        <v>15</v>
      </c>
      <c r="CA1" s="14" t="s">
        <v>15</v>
      </c>
      <c r="CB1" s="14" t="s">
        <v>15</v>
      </c>
    </row>
    <row r="2" spans="1:80" ht="14.7" thickBot="1" x14ac:dyDescent="0.6">
      <c r="C2" s="15">
        <v>2019</v>
      </c>
      <c r="D2" s="15">
        <v>2020</v>
      </c>
      <c r="E2" s="15">
        <v>2021</v>
      </c>
      <c r="F2" s="15">
        <v>2022</v>
      </c>
      <c r="G2" s="15">
        <v>2023</v>
      </c>
      <c r="H2" s="15">
        <v>2024</v>
      </c>
      <c r="I2" s="15">
        <v>2025</v>
      </c>
      <c r="J2" s="15">
        <v>2026</v>
      </c>
      <c r="K2" s="15">
        <v>2027</v>
      </c>
      <c r="L2" s="15">
        <v>2028</v>
      </c>
      <c r="M2" s="15">
        <v>2029</v>
      </c>
      <c r="N2" s="15">
        <v>2030</v>
      </c>
      <c r="O2" s="15">
        <v>2031</v>
      </c>
      <c r="P2" s="15">
        <v>2032</v>
      </c>
      <c r="Q2" s="15">
        <v>2033</v>
      </c>
      <c r="R2" s="15">
        <v>2034</v>
      </c>
      <c r="S2" s="15">
        <v>2035</v>
      </c>
      <c r="T2" s="15">
        <v>2036</v>
      </c>
      <c r="U2" s="15">
        <v>2037</v>
      </c>
      <c r="V2" s="15">
        <v>2038</v>
      </c>
      <c r="W2" s="15">
        <v>2039</v>
      </c>
      <c r="X2" s="15">
        <v>2040</v>
      </c>
      <c r="Y2" s="15">
        <v>2041</v>
      </c>
      <c r="Z2" s="15">
        <v>2042</v>
      </c>
      <c r="AA2" s="15">
        <v>2043</v>
      </c>
      <c r="AB2" s="15">
        <v>2044</v>
      </c>
      <c r="AC2" s="15">
        <v>2045</v>
      </c>
      <c r="AD2" s="15">
        <v>2046</v>
      </c>
      <c r="AE2" s="15">
        <v>2047</v>
      </c>
      <c r="AF2" s="15">
        <v>2048</v>
      </c>
      <c r="AG2" s="15">
        <v>2049</v>
      </c>
      <c r="AH2" s="15">
        <v>2050</v>
      </c>
      <c r="AI2" s="15">
        <v>2051</v>
      </c>
      <c r="AJ2" s="15">
        <v>2052</v>
      </c>
      <c r="AK2" s="15">
        <v>2053</v>
      </c>
      <c r="AL2" s="15">
        <v>2054</v>
      </c>
      <c r="AM2" s="15">
        <v>2055</v>
      </c>
      <c r="AN2" s="15">
        <v>2056</v>
      </c>
      <c r="AO2" s="15">
        <v>2057</v>
      </c>
      <c r="AP2" s="15">
        <v>2058</v>
      </c>
      <c r="AQ2" s="15">
        <v>2059</v>
      </c>
      <c r="AR2" s="15">
        <v>2060</v>
      </c>
      <c r="AS2" s="15">
        <v>2061</v>
      </c>
      <c r="AT2" s="15">
        <v>2062</v>
      </c>
      <c r="AU2" s="15">
        <v>2063</v>
      </c>
      <c r="AV2" s="15">
        <v>2064</v>
      </c>
      <c r="AW2" s="15">
        <v>2065</v>
      </c>
      <c r="AX2" s="15">
        <v>2066</v>
      </c>
      <c r="AY2" s="15">
        <v>2067</v>
      </c>
      <c r="AZ2" s="15">
        <v>2068</v>
      </c>
      <c r="BA2" s="15">
        <v>2069</v>
      </c>
      <c r="BB2" s="15">
        <v>2070</v>
      </c>
      <c r="BC2" s="15">
        <v>2071</v>
      </c>
      <c r="BD2" s="15">
        <v>2072</v>
      </c>
      <c r="BE2" s="15">
        <v>2073</v>
      </c>
      <c r="BF2" s="15">
        <v>2074</v>
      </c>
      <c r="BG2" s="15">
        <v>2075</v>
      </c>
      <c r="BH2" s="15">
        <v>2076</v>
      </c>
      <c r="BI2" s="15">
        <v>2077</v>
      </c>
      <c r="BJ2" s="15">
        <v>2078</v>
      </c>
      <c r="BK2" s="15">
        <v>2079</v>
      </c>
      <c r="BL2" s="15">
        <v>2080</v>
      </c>
      <c r="BM2" s="15">
        <v>2081</v>
      </c>
      <c r="BN2" s="15">
        <v>2082</v>
      </c>
      <c r="BO2" s="15">
        <v>2083</v>
      </c>
      <c r="BP2" s="15">
        <v>2084</v>
      </c>
      <c r="BQ2" s="15">
        <v>2085</v>
      </c>
      <c r="BR2" s="15">
        <v>2086</v>
      </c>
      <c r="BS2" s="15">
        <v>2087</v>
      </c>
      <c r="BT2" s="15">
        <v>2088</v>
      </c>
      <c r="BU2" s="15">
        <v>2089</v>
      </c>
      <c r="BV2" s="15">
        <v>2090</v>
      </c>
      <c r="BW2" s="15">
        <v>2091</v>
      </c>
      <c r="BX2" s="15">
        <v>2092</v>
      </c>
      <c r="BY2" s="15">
        <v>2093</v>
      </c>
      <c r="BZ2" s="15">
        <v>2094</v>
      </c>
      <c r="CA2" s="15">
        <v>2095</v>
      </c>
      <c r="CB2" s="15">
        <v>2096</v>
      </c>
    </row>
    <row r="3" spans="1:80" x14ac:dyDescent="0.55000000000000004">
      <c r="A3" t="s">
        <v>150</v>
      </c>
      <c r="B3" t="s">
        <v>0</v>
      </c>
      <c r="C3" s="1">
        <v>189699</v>
      </c>
      <c r="D3" s="1">
        <v>201478</v>
      </c>
      <c r="E3" s="1">
        <v>226233</v>
      </c>
      <c r="F3" s="1">
        <v>257157</v>
      </c>
      <c r="G3" s="1">
        <v>290827</v>
      </c>
      <c r="H3" s="1">
        <v>308810</v>
      </c>
      <c r="I3" s="1">
        <f>H3*1.11</f>
        <v>342779.10000000003</v>
      </c>
      <c r="J3" s="1">
        <f>I3*1.1</f>
        <v>377057.01000000007</v>
      </c>
      <c r="K3" s="1">
        <f>J3*1.09</f>
        <v>410992.14090000011</v>
      </c>
      <c r="L3" s="1">
        <f>K3*1.08</f>
        <v>443871.51217200013</v>
      </c>
      <c r="M3" s="1">
        <f>L3*1.07</f>
        <v>474942.51802404015</v>
      </c>
      <c r="N3" s="1">
        <f>M3*1.06</f>
        <v>503439.0691054826</v>
      </c>
      <c r="O3" s="1">
        <f>N3*1.05</f>
        <v>528611.02256075677</v>
      </c>
      <c r="P3" s="1">
        <f>O3*1.04</f>
        <v>549755.4634631871</v>
      </c>
      <c r="Q3" s="1">
        <f>P3*1.03</f>
        <v>566248.12736708275</v>
      </c>
      <c r="R3" s="1">
        <f>Q3*1.02</f>
        <v>577573.08991442446</v>
      </c>
    </row>
    <row r="4" spans="1:80" x14ac:dyDescent="0.55000000000000004">
      <c r="B4" t="s">
        <v>1</v>
      </c>
      <c r="C4" s="1">
        <v>31597</v>
      </c>
      <c r="D4" s="1">
        <v>34145</v>
      </c>
      <c r="E4" s="1">
        <v>34437</v>
      </c>
      <c r="F4" s="1">
        <v>37424</v>
      </c>
      <c r="G4" s="1">
        <v>42583</v>
      </c>
      <c r="H4" s="1">
        <v>50226</v>
      </c>
      <c r="I4" s="1">
        <f>H4*1.25</f>
        <v>62782.5</v>
      </c>
      <c r="J4" s="1">
        <f>I4*1.15</f>
        <v>72199.875</v>
      </c>
      <c r="K4" s="1">
        <f>J4*1.05</f>
        <v>75809.868750000009</v>
      </c>
      <c r="L4" s="1">
        <f>K4*1.1</f>
        <v>83390.855625000011</v>
      </c>
      <c r="M4" s="1">
        <f>L4*1.1</f>
        <v>91729.941187500022</v>
      </c>
      <c r="N4" s="1">
        <f>M4*1.07</f>
        <v>98151.037070625025</v>
      </c>
      <c r="O4" s="1">
        <f>N4*1.08</f>
        <v>106003.12003627504</v>
      </c>
      <c r="P4" s="1">
        <f>O4*1.09</f>
        <v>115543.4008395398</v>
      </c>
      <c r="Q4" s="1">
        <f>P4*1.08</f>
        <v>124786.87290670299</v>
      </c>
      <c r="R4" s="1">
        <f>Q4*1.05</f>
        <v>131026.21655203815</v>
      </c>
    </row>
    <row r="5" spans="1:80" x14ac:dyDescent="0.55000000000000004">
      <c r="B5" t="s">
        <v>2</v>
      </c>
      <c r="C5" s="1">
        <v>18973</v>
      </c>
      <c r="D5" s="1">
        <v>20016</v>
      </c>
      <c r="E5" s="1">
        <v>24603</v>
      </c>
      <c r="F5" s="1">
        <v>27551</v>
      </c>
      <c r="G5" s="1">
        <v>34123</v>
      </c>
      <c r="H5" s="1">
        <v>36040</v>
      </c>
      <c r="I5" s="1">
        <f>H5*1.1</f>
        <v>39644</v>
      </c>
      <c r="J5" s="1">
        <f t="shared" ref="J5:R5" si="0">I5*1.1</f>
        <v>43608.4</v>
      </c>
      <c r="K5" s="1">
        <f t="shared" si="0"/>
        <v>47969.240000000005</v>
      </c>
      <c r="L5" s="1">
        <f t="shared" si="0"/>
        <v>52766.164000000012</v>
      </c>
      <c r="M5" s="1">
        <f t="shared" si="0"/>
        <v>58042.780400000018</v>
      </c>
      <c r="N5" s="1">
        <f t="shared" si="0"/>
        <v>63847.058440000023</v>
      </c>
      <c r="O5" s="1">
        <f t="shared" si="0"/>
        <v>70231.764284000034</v>
      </c>
      <c r="P5" s="1">
        <f t="shared" si="0"/>
        <v>77254.940712400043</v>
      </c>
      <c r="Q5" s="1">
        <f t="shared" si="0"/>
        <v>84980.434783640056</v>
      </c>
      <c r="R5" s="1">
        <f t="shared" si="0"/>
        <v>93478.478262004064</v>
      </c>
    </row>
    <row r="6" spans="1:80" x14ac:dyDescent="0.55000000000000004">
      <c r="B6" t="s">
        <v>3</v>
      </c>
      <c r="C6" s="1">
        <v>1886</v>
      </c>
      <c r="D6" s="1">
        <v>1502</v>
      </c>
      <c r="E6" s="1">
        <v>2324</v>
      </c>
      <c r="F6" s="1">
        <v>2030</v>
      </c>
      <c r="G6" s="1">
        <v>4089</v>
      </c>
      <c r="H6" s="1">
        <v>5202</v>
      </c>
      <c r="I6" s="1">
        <f>H6</f>
        <v>5202</v>
      </c>
      <c r="J6" s="1">
        <f t="shared" ref="J6:R6" si="1">I6</f>
        <v>5202</v>
      </c>
      <c r="K6" s="1">
        <f t="shared" si="1"/>
        <v>5202</v>
      </c>
      <c r="L6" s="1">
        <f t="shared" si="1"/>
        <v>5202</v>
      </c>
      <c r="M6" s="1">
        <f t="shared" si="1"/>
        <v>5202</v>
      </c>
      <c r="N6" s="1">
        <f t="shared" si="1"/>
        <v>5202</v>
      </c>
      <c r="O6" s="1">
        <f t="shared" si="1"/>
        <v>5202</v>
      </c>
      <c r="P6" s="1">
        <f t="shared" si="1"/>
        <v>5202</v>
      </c>
      <c r="Q6" s="1">
        <f t="shared" si="1"/>
        <v>5202</v>
      </c>
      <c r="R6" s="1">
        <f t="shared" si="1"/>
        <v>5202</v>
      </c>
    </row>
    <row r="7" spans="1:80" x14ac:dyDescent="0.55000000000000004">
      <c r="B7" s="9" t="s">
        <v>4</v>
      </c>
      <c r="C7" s="10">
        <f t="shared" ref="C7:H7" si="2">SUM(C3:C6)</f>
        <v>242155</v>
      </c>
      <c r="D7" s="10">
        <f t="shared" si="2"/>
        <v>257141</v>
      </c>
      <c r="E7" s="10">
        <f t="shared" si="2"/>
        <v>287597</v>
      </c>
      <c r="F7" s="10">
        <f t="shared" si="2"/>
        <v>324162</v>
      </c>
      <c r="G7" s="10">
        <f t="shared" si="2"/>
        <v>371622</v>
      </c>
      <c r="H7" s="10">
        <f t="shared" si="2"/>
        <v>400278</v>
      </c>
      <c r="I7" s="10">
        <f t="shared" ref="I7" si="3">SUM(I3:I6)</f>
        <v>450407.60000000003</v>
      </c>
      <c r="J7" s="10">
        <f t="shared" ref="J7" si="4">SUM(J3:J6)</f>
        <v>498067.28500000009</v>
      </c>
      <c r="K7" s="10">
        <f t="shared" ref="K7" si="5">SUM(K3:K6)</f>
        <v>539973.24965000013</v>
      </c>
      <c r="L7" s="10">
        <f t="shared" ref="L7" si="6">SUM(L3:L6)</f>
        <v>585230.53179700009</v>
      </c>
      <c r="M7" s="10">
        <f t="shared" ref="M7" si="7">SUM(M3:M6)</f>
        <v>629917.23961154022</v>
      </c>
      <c r="N7" s="10">
        <f t="shared" ref="N7" si="8">SUM(N3:N6)</f>
        <v>670639.16461610771</v>
      </c>
      <c r="O7" s="10">
        <f t="shared" ref="O7" si="9">SUM(O3:O6)</f>
        <v>710047.90688103181</v>
      </c>
      <c r="P7" s="10">
        <f t="shared" ref="P7" si="10">SUM(P3:P6)</f>
        <v>747755.80501512694</v>
      </c>
      <c r="Q7" s="10">
        <f t="shared" ref="Q7" si="11">SUM(Q3:Q6)</f>
        <v>781217.43505742587</v>
      </c>
      <c r="R7" s="10">
        <f t="shared" ref="R7" si="12">SUM(R3:R6)</f>
        <v>807279.78472846665</v>
      </c>
    </row>
    <row r="8" spans="1:80" x14ac:dyDescent="0.55000000000000004">
      <c r="B8" t="s">
        <v>5</v>
      </c>
      <c r="C8" s="1">
        <v>156440</v>
      </c>
      <c r="D8" s="1">
        <v>159396</v>
      </c>
      <c r="E8" s="1">
        <v>186911</v>
      </c>
      <c r="F8" s="1">
        <v>210842</v>
      </c>
      <c r="G8" s="1">
        <v>241894</v>
      </c>
      <c r="H8" s="1">
        <v>264185</v>
      </c>
      <c r="I8" s="1">
        <f>I7*0.65</f>
        <v>292764.94000000006</v>
      </c>
      <c r="J8" s="1">
        <f t="shared" ref="J8:R8" si="13">J7*0.65</f>
        <v>323743.73525000009</v>
      </c>
      <c r="K8" s="1">
        <f t="shared" si="13"/>
        <v>350982.61227250012</v>
      </c>
      <c r="L8" s="1">
        <f t="shared" si="13"/>
        <v>380399.84566805005</v>
      </c>
      <c r="M8" s="1">
        <f t="shared" si="13"/>
        <v>409446.20574750117</v>
      </c>
      <c r="N8" s="1">
        <f t="shared" si="13"/>
        <v>435915.45700047002</v>
      </c>
      <c r="O8" s="1">
        <f t="shared" si="13"/>
        <v>461531.13947267068</v>
      </c>
      <c r="P8" s="1">
        <f t="shared" si="13"/>
        <v>486041.27325983252</v>
      </c>
      <c r="Q8" s="1">
        <f t="shared" si="13"/>
        <v>507791.33278732683</v>
      </c>
      <c r="R8" s="1">
        <f t="shared" si="13"/>
        <v>524731.86007350334</v>
      </c>
    </row>
    <row r="9" spans="1:80" x14ac:dyDescent="0.55000000000000004">
      <c r="B9" t="s">
        <v>6</v>
      </c>
      <c r="C9" s="1">
        <v>35193</v>
      </c>
      <c r="D9" s="1">
        <v>41704</v>
      </c>
      <c r="E9" s="1">
        <v>42579</v>
      </c>
      <c r="F9" s="1">
        <v>47782</v>
      </c>
      <c r="G9" s="1">
        <v>54628</v>
      </c>
      <c r="H9" s="1">
        <v>53013</v>
      </c>
      <c r="I9" s="1">
        <f>I7*0.13</f>
        <v>58552.988000000005</v>
      </c>
      <c r="J9" s="1">
        <f t="shared" ref="J9:R9" si="14">J7*0.13</f>
        <v>64748.747050000013</v>
      </c>
      <c r="K9" s="1">
        <f t="shared" si="14"/>
        <v>70196.522454500024</v>
      </c>
      <c r="L9" s="1">
        <f t="shared" si="14"/>
        <v>76079.969133610008</v>
      </c>
      <c r="M9" s="1">
        <f t="shared" si="14"/>
        <v>81889.241149500231</v>
      </c>
      <c r="N9" s="1">
        <f t="shared" si="14"/>
        <v>87183.09140009401</v>
      </c>
      <c r="O9" s="1">
        <f t="shared" si="14"/>
        <v>92306.227894534139</v>
      </c>
      <c r="P9" s="1">
        <f t="shared" si="14"/>
        <v>97208.254651966505</v>
      </c>
      <c r="Q9" s="1">
        <f t="shared" si="14"/>
        <v>101558.26655746537</v>
      </c>
      <c r="R9" s="1">
        <f t="shared" si="14"/>
        <v>104946.37201470067</v>
      </c>
    </row>
    <row r="10" spans="1:80" x14ac:dyDescent="0.55000000000000004">
      <c r="B10" t="s">
        <v>7</v>
      </c>
      <c r="C10" s="1">
        <v>28117</v>
      </c>
      <c r="D10" s="1">
        <v>30745</v>
      </c>
      <c r="E10" s="1">
        <v>31034</v>
      </c>
      <c r="F10" s="1">
        <v>33703</v>
      </c>
      <c r="G10" s="1">
        <v>38770</v>
      </c>
      <c r="H10" s="1">
        <v>46694</v>
      </c>
      <c r="I10" s="1">
        <f>I7*0.116</f>
        <v>52247.281600000009</v>
      </c>
      <c r="J10" s="1">
        <f t="shared" ref="J10:R10" si="15">J7*0.116</f>
        <v>57775.805060000013</v>
      </c>
      <c r="K10" s="1">
        <f t="shared" si="15"/>
        <v>62636.896959400015</v>
      </c>
      <c r="L10" s="1">
        <f t="shared" si="15"/>
        <v>67886.741688452021</v>
      </c>
      <c r="M10" s="1">
        <f t="shared" si="15"/>
        <v>73070.399794938668</v>
      </c>
      <c r="N10" s="1">
        <f t="shared" si="15"/>
        <v>77794.143095468491</v>
      </c>
      <c r="O10" s="1">
        <f t="shared" si="15"/>
        <v>82365.557198199691</v>
      </c>
      <c r="P10" s="1">
        <f t="shared" si="15"/>
        <v>86739.673381754736</v>
      </c>
      <c r="Q10" s="1">
        <f t="shared" si="15"/>
        <v>90621.222466661406</v>
      </c>
      <c r="R10" s="1">
        <f t="shared" si="15"/>
        <v>93644.45502850214</v>
      </c>
    </row>
    <row r="11" spans="1:80" x14ac:dyDescent="0.55000000000000004">
      <c r="B11" t="s">
        <v>8</v>
      </c>
      <c r="C11" s="1">
        <v>2720</v>
      </c>
      <c r="D11" s="1">
        <v>2891</v>
      </c>
      <c r="E11" s="1">
        <v>3103</v>
      </c>
      <c r="F11" s="1">
        <v>3400</v>
      </c>
      <c r="G11" s="1">
        <v>3972</v>
      </c>
      <c r="H11" s="1">
        <v>4099</v>
      </c>
      <c r="I11" s="1">
        <f>H11*1.0864</f>
        <v>4453.1536000000006</v>
      </c>
      <c r="J11" s="1">
        <f t="shared" ref="J11:R11" si="16">I11*1.0864</f>
        <v>4837.9060710400008</v>
      </c>
      <c r="K11" s="1">
        <f t="shared" si="16"/>
        <v>5255.901155577857</v>
      </c>
      <c r="L11" s="1">
        <f t="shared" si="16"/>
        <v>5710.0110154197837</v>
      </c>
      <c r="M11" s="1">
        <f t="shared" si="16"/>
        <v>6203.3559671520534</v>
      </c>
      <c r="N11" s="1">
        <f t="shared" si="16"/>
        <v>6739.3259227139906</v>
      </c>
      <c r="O11" s="1">
        <f t="shared" si="16"/>
        <v>7321.6036824364792</v>
      </c>
      <c r="P11" s="1">
        <f t="shared" si="16"/>
        <v>7954.1902405989913</v>
      </c>
      <c r="Q11" s="1">
        <f t="shared" si="16"/>
        <v>8641.4322773867443</v>
      </c>
      <c r="R11" s="1">
        <f t="shared" si="16"/>
        <v>9388.05202615296</v>
      </c>
    </row>
    <row r="12" spans="1:80" x14ac:dyDescent="0.55000000000000004">
      <c r="B12" s="9" t="s">
        <v>9</v>
      </c>
      <c r="C12" s="10">
        <f t="shared" ref="C12:H12" si="17">SUM(C8:C11)</f>
        <v>222470</v>
      </c>
      <c r="D12" s="10">
        <f t="shared" si="17"/>
        <v>234736</v>
      </c>
      <c r="E12" s="10">
        <f t="shared" si="17"/>
        <v>263627</v>
      </c>
      <c r="F12" s="10">
        <f t="shared" si="17"/>
        <v>295727</v>
      </c>
      <c r="G12" s="10">
        <f t="shared" si="17"/>
        <v>339264</v>
      </c>
      <c r="H12" s="10">
        <f t="shared" si="17"/>
        <v>367991</v>
      </c>
      <c r="I12" s="10">
        <f t="shared" ref="I12" si="18">SUM(I8:I11)</f>
        <v>408018.36320000008</v>
      </c>
      <c r="J12" s="10">
        <f t="shared" ref="J12" si="19">SUM(J8:J11)</f>
        <v>451106.1934310401</v>
      </c>
      <c r="K12" s="10">
        <f t="shared" ref="K12" si="20">SUM(K8:K11)</f>
        <v>489071.93284197804</v>
      </c>
      <c r="L12" s="10">
        <f t="shared" ref="L12" si="21">SUM(L8:L11)</f>
        <v>530076.56750553183</v>
      </c>
      <c r="M12" s="10">
        <f t="shared" ref="M12" si="22">SUM(M8:M11)</f>
        <v>570609.20265909215</v>
      </c>
      <c r="N12" s="10">
        <f t="shared" ref="N12" si="23">SUM(N8:N11)</f>
        <v>607632.01741874649</v>
      </c>
      <c r="O12" s="10">
        <f t="shared" ref="O12" si="24">SUM(O8:O11)</f>
        <v>643524.52824784105</v>
      </c>
      <c r="P12" s="10">
        <f t="shared" ref="P12" si="25">SUM(P8:P11)</f>
        <v>677943.39153415279</v>
      </c>
      <c r="Q12" s="10">
        <f t="shared" ref="Q12" si="26">SUM(Q8:Q11)</f>
        <v>708612.25408884033</v>
      </c>
      <c r="R12" s="10">
        <f t="shared" ref="R12" si="27">SUM(R8:R11)</f>
        <v>732710.73914285912</v>
      </c>
    </row>
    <row r="13" spans="1:80" ht="14.7" thickBot="1" x14ac:dyDescent="0.6">
      <c r="B13" s="9" t="s">
        <v>10</v>
      </c>
      <c r="C13" s="11">
        <f t="shared" ref="C13:H13" si="28">C7-C8-C9-C10-C11</f>
        <v>19685</v>
      </c>
      <c r="D13" s="11">
        <f t="shared" si="28"/>
        <v>22405</v>
      </c>
      <c r="E13" s="11">
        <f t="shared" si="28"/>
        <v>23970</v>
      </c>
      <c r="F13" s="11">
        <f t="shared" si="28"/>
        <v>28435</v>
      </c>
      <c r="G13" s="11">
        <f t="shared" si="28"/>
        <v>32358</v>
      </c>
      <c r="H13" s="11">
        <f t="shared" si="28"/>
        <v>32287</v>
      </c>
      <c r="I13" s="11">
        <f t="shared" ref="I13:R13" si="29">I7-I8-I9-I10-I11</f>
        <v>42389.236799999955</v>
      </c>
      <c r="J13" s="11">
        <f t="shared" si="29"/>
        <v>46961.091568959986</v>
      </c>
      <c r="K13" s="11">
        <f t="shared" si="29"/>
        <v>50901.316808022115</v>
      </c>
      <c r="L13" s="11">
        <f t="shared" si="29"/>
        <v>55153.964291468226</v>
      </c>
      <c r="M13" s="11">
        <f t="shared" si="29"/>
        <v>59308.036952448085</v>
      </c>
      <c r="N13" s="11">
        <f t="shared" si="29"/>
        <v>63007.147197361192</v>
      </c>
      <c r="O13" s="11">
        <f t="shared" si="29"/>
        <v>66523.378633190834</v>
      </c>
      <c r="P13" s="11">
        <f t="shared" si="29"/>
        <v>69812.413480974181</v>
      </c>
      <c r="Q13" s="11">
        <f t="shared" si="29"/>
        <v>72605.180968585526</v>
      </c>
      <c r="R13" s="11">
        <f t="shared" si="29"/>
        <v>74569.045585607542</v>
      </c>
    </row>
    <row r="14" spans="1:80" ht="14.7" thickTop="1" x14ac:dyDescent="0.55000000000000004">
      <c r="B14" t="s">
        <v>11</v>
      </c>
      <c r="C14" s="1">
        <v>-1704</v>
      </c>
      <c r="D14" s="1">
        <v>-1663</v>
      </c>
      <c r="E14" s="1">
        <v>-1660</v>
      </c>
      <c r="F14" s="1">
        <v>-2092</v>
      </c>
      <c r="G14" s="1">
        <v>-3246</v>
      </c>
      <c r="H14" s="1">
        <v>-3906</v>
      </c>
      <c r="I14" s="1">
        <f>H14*1.06</f>
        <v>-4140.3600000000006</v>
      </c>
      <c r="J14" s="1">
        <f>I14*1.14</f>
        <v>-4720.0104000000001</v>
      </c>
      <c r="K14" s="1">
        <f>J14*1.03</f>
        <v>-4861.6107120000006</v>
      </c>
      <c r="L14" s="1">
        <f>K14*1.2</f>
        <v>-5833.9328544000009</v>
      </c>
      <c r="M14" s="1">
        <f>L14*1.19</f>
        <v>-6942.3800967360012</v>
      </c>
      <c r="N14" s="1">
        <f>M14*1.12</f>
        <v>-7775.4657083443217</v>
      </c>
      <c r="O14" s="1">
        <f>N14*0.99</f>
        <v>-7697.7110512608788</v>
      </c>
      <c r="P14" s="1">
        <f>O14*1.09</f>
        <v>-8390.505045874359</v>
      </c>
      <c r="Q14" s="1">
        <f>P14*0.8</f>
        <v>-6712.4040366994877</v>
      </c>
      <c r="R14" s="1">
        <f>Q14*0.88</f>
        <v>-5906.9155522955489</v>
      </c>
    </row>
    <row r="15" spans="1:80" x14ac:dyDescent="0.55000000000000004">
      <c r="B15" t="s">
        <v>12</v>
      </c>
      <c r="C15" s="1"/>
      <c r="D15" s="1"/>
      <c r="E15" s="1"/>
      <c r="F15" s="1"/>
      <c r="G15" s="1"/>
      <c r="H15" s="1">
        <v>-8310</v>
      </c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80" x14ac:dyDescent="0.55000000000000004">
      <c r="B16" t="s">
        <v>13</v>
      </c>
      <c r="C16" s="1">
        <v>-3742</v>
      </c>
      <c r="D16" s="1">
        <v>-4973</v>
      </c>
      <c r="E16" s="1">
        <v>-4578</v>
      </c>
      <c r="F16" s="1">
        <v>-5704</v>
      </c>
      <c r="G16" s="1">
        <v>-5968</v>
      </c>
      <c r="H16" s="1">
        <v>-4829</v>
      </c>
      <c r="I16" s="1">
        <f>(I13+I14)*-0.207457</f>
        <v>-7934.9972342975907</v>
      </c>
      <c r="J16" s="1">
        <f t="shared" ref="J16:R16" si="30">(J13+J14)*-0.207457</f>
        <v>-8763.2079760689321</v>
      </c>
      <c r="K16" s="1">
        <f t="shared" si="30"/>
        <v>-9551.2593075624591</v>
      </c>
      <c r="L16" s="1">
        <f t="shared" si="30"/>
        <v>-10231.785761839863</v>
      </c>
      <c r="M16" s="1">
        <f t="shared" si="30"/>
        <v>-10863.622074315463</v>
      </c>
      <c r="N16" s="1">
        <f t="shared" si="30"/>
        <v>-11458.198946666973</v>
      </c>
      <c r="O16" s="1">
        <f t="shared" si="30"/>
        <v>-12203.796519544443</v>
      </c>
      <c r="P16" s="1">
        <f t="shared" si="30"/>
        <v>-12742.404858220505</v>
      </c>
      <c r="Q16" s="1">
        <f t="shared" si="30"/>
        <v>-13669.917823958282</v>
      </c>
      <c r="R16" s="1">
        <f t="shared" si="30"/>
        <v>-14244.439510320804</v>
      </c>
      <c r="S16" s="62"/>
      <c r="T16" s="62"/>
      <c r="U16" s="62"/>
      <c r="V16" s="62"/>
      <c r="W16" s="62"/>
      <c r="X16" s="62"/>
      <c r="Y16" s="62"/>
      <c r="Z16" s="62"/>
      <c r="AA16" s="62"/>
    </row>
    <row r="17" spans="1:80" ht="14.7" thickBot="1" x14ac:dyDescent="0.6">
      <c r="B17" s="9" t="s">
        <v>14</v>
      </c>
      <c r="C17" s="11">
        <f t="shared" ref="C17:H17" si="31">SUM(C13:C16)</f>
        <v>14239</v>
      </c>
      <c r="D17" s="11">
        <f t="shared" si="31"/>
        <v>15769</v>
      </c>
      <c r="E17" s="11">
        <f t="shared" si="31"/>
        <v>17732</v>
      </c>
      <c r="F17" s="11">
        <f t="shared" si="31"/>
        <v>20639</v>
      </c>
      <c r="G17" s="11">
        <f t="shared" si="31"/>
        <v>23144</v>
      </c>
      <c r="H17" s="11">
        <f t="shared" si="31"/>
        <v>15242</v>
      </c>
      <c r="I17" s="11">
        <f t="shared" ref="I17" si="32">SUM(I13:I16)</f>
        <v>30313.879565702366</v>
      </c>
      <c r="J17" s="11">
        <f t="shared" ref="J17" si="33">SUM(J13:J16)</f>
        <v>33477.873192891057</v>
      </c>
      <c r="K17" s="11">
        <f t="shared" ref="K17" si="34">SUM(K13:K16)</f>
        <v>36488.446788459652</v>
      </c>
      <c r="L17" s="11">
        <f t="shared" ref="L17" si="35">SUM(L13:L16)</f>
        <v>39088.245675228362</v>
      </c>
      <c r="M17" s="11">
        <f t="shared" ref="M17" si="36">SUM(M13:M16)</f>
        <v>41502.034781396622</v>
      </c>
      <c r="N17" s="11">
        <f t="shared" ref="N17" si="37">SUM(N13:N16)</f>
        <v>43773.482542349899</v>
      </c>
      <c r="O17" s="11">
        <f t="shared" ref="O17" si="38">SUM(O13:O16)</f>
        <v>46621.871062385515</v>
      </c>
      <c r="P17" s="11">
        <f t="shared" ref="P17" si="39">SUM(P13:P16)</f>
        <v>48679.503576879317</v>
      </c>
      <c r="Q17" s="11">
        <f t="shared" ref="Q17" si="40">SUM(Q13:Q16)</f>
        <v>52222.859107927754</v>
      </c>
      <c r="R17" s="11">
        <f t="shared" ref="R17" si="41">SUM(R13:R16)</f>
        <v>54417.690522991179</v>
      </c>
      <c r="S17" s="53">
        <f>R17*(1+$T$152)</f>
        <v>54961.867428221092</v>
      </c>
      <c r="T17" s="53">
        <f>S17*(1+$T$152)</f>
        <v>55511.486102503302</v>
      </c>
      <c r="U17" s="53">
        <f>T17*(1+$T$152)</f>
        <v>56066.600963528334</v>
      </c>
      <c r="V17" s="53">
        <f>U17*(1+$T$152)</f>
        <v>56627.26697316362</v>
      </c>
      <c r="W17" s="53">
        <f>V17*(1+$T$152)</f>
        <v>57193.539642895259</v>
      </c>
      <c r="X17" s="53">
        <f>W17*(1+$T$152)</f>
        <v>57765.475039324214</v>
      </c>
      <c r="Y17" s="53">
        <f>X17*(1+$T$152)</f>
        <v>58343.129789717459</v>
      </c>
      <c r="Z17" s="53">
        <f>Y17*(1+$T$152)</f>
        <v>58926.561087614631</v>
      </c>
      <c r="AA17" s="53">
        <f>Z17*(1+$T$152)</f>
        <v>59515.826698490775</v>
      </c>
      <c r="AB17" s="53">
        <f>AA17*(1+$T$152)</f>
        <v>60110.984965475684</v>
      </c>
      <c r="AC17" s="53">
        <f>AB17*(1+$T$152)</f>
        <v>60712.09481513044</v>
      </c>
      <c r="AD17" s="53">
        <f>AC17*(1+$T$152)</f>
        <v>61319.215763281747</v>
      </c>
      <c r="AE17" s="53">
        <f>AD17*(1+$T$152)</f>
        <v>61932.407920914564</v>
      </c>
      <c r="AF17" s="53">
        <f>AE17*(1+$T$152)</f>
        <v>62551.732000123709</v>
      </c>
      <c r="AG17" s="53">
        <f>AF17*(1+$T$152)</f>
        <v>63177.249320124945</v>
      </c>
      <c r="AH17" s="53">
        <f>AG17*(1+$T$152)</f>
        <v>63809.021813326195</v>
      </c>
      <c r="AI17" s="53">
        <f>AH17*(1+$T$152)</f>
        <v>64447.112031459459</v>
      </c>
      <c r="AJ17" s="53">
        <f>AI17*(1+$T$152)</f>
        <v>65091.583151774052</v>
      </c>
      <c r="AK17" s="53">
        <f>AJ17*(1+$T$152)</f>
        <v>65742.498983291793</v>
      </c>
      <c r="AL17" s="53">
        <f>AK17*(1+$T$152)</f>
        <v>66399.923973124707</v>
      </c>
      <c r="AM17" s="53">
        <f>AL17*(1+$T$152)</f>
        <v>67063.923212855952</v>
      </c>
      <c r="AN17" s="53">
        <f>AM17*(1+$T$152)</f>
        <v>67734.562444984505</v>
      </c>
      <c r="AO17" s="53">
        <f>AN17*(1+$T$152)</f>
        <v>68411.908069434357</v>
      </c>
      <c r="AP17" s="53">
        <f>AO17*(1+$T$152)</f>
        <v>69096.027150128706</v>
      </c>
      <c r="AQ17" s="53">
        <f>AP17*(1+$T$152)</f>
        <v>69786.987421629994</v>
      </c>
      <c r="AR17" s="53">
        <f>AQ17*(1+$T$152)</f>
        <v>70484.85729584629</v>
      </c>
      <c r="AS17" s="53">
        <f>AR17*(1+$T$152)</f>
        <v>71189.705868804755</v>
      </c>
      <c r="AT17" s="53">
        <f>AS17*(1+$T$152)</f>
        <v>71901.602927492801</v>
      </c>
      <c r="AU17" s="53">
        <f>AT17*(1+$T$152)</f>
        <v>72620.618956767736</v>
      </c>
      <c r="AV17" s="53">
        <f>AU17*(1+$T$152)</f>
        <v>73346.82514633541</v>
      </c>
      <c r="AW17" s="53">
        <f>AV17*(1+$T$152)</f>
        <v>74080.29339779877</v>
      </c>
      <c r="AX17" s="53">
        <f>AW17*(1+$T$152)</f>
        <v>74821.09633177676</v>
      </c>
      <c r="AY17" s="53">
        <f>AX17*(1+$T$152)</f>
        <v>75569.307295094535</v>
      </c>
      <c r="AZ17" s="53">
        <f>AY17*(1+$T$152)</f>
        <v>76325.000368045483</v>
      </c>
      <c r="BA17" s="53">
        <f>AZ17*(1+$T$152)</f>
        <v>77088.250371725939</v>
      </c>
      <c r="BB17" s="53">
        <f>BA17*(1+$T$152)</f>
        <v>77859.132875443203</v>
      </c>
      <c r="BC17" s="53">
        <f>BB17*(1+$T$152)</f>
        <v>78637.724204197642</v>
      </c>
      <c r="BD17" s="53">
        <f>BC17*(1+$T$152)</f>
        <v>79424.101446239612</v>
      </c>
      <c r="BE17" s="53">
        <f>BD17*(1+$T$152)</f>
        <v>80218.342460702013</v>
      </c>
      <c r="BF17" s="53">
        <f>BE17*(1+$T$152)</f>
        <v>81020.525885309034</v>
      </c>
      <c r="BG17" s="53">
        <f>BF17*(1+$T$152)</f>
        <v>81830.731144162128</v>
      </c>
      <c r="BH17" s="53">
        <f>BG17*(1+$T$152)</f>
        <v>82649.038455603746</v>
      </c>
      <c r="BI17" s="53">
        <f>BH17*(1+$T$152)</f>
        <v>83475.528840159779</v>
      </c>
      <c r="BJ17" s="53">
        <f>BI17*(1+$T$152)</f>
        <v>84310.284128561383</v>
      </c>
      <c r="BK17" s="53">
        <f>BJ17*(1+$T$152)</f>
        <v>85153.386969846993</v>
      </c>
      <c r="BL17" s="53">
        <f>BK17*(1+$T$152)</f>
        <v>86004.920839545463</v>
      </c>
      <c r="BM17" s="53">
        <f>BL17*(1+$T$152)</f>
        <v>86864.970047940922</v>
      </c>
      <c r="BN17" s="53">
        <f>BM17*(1+$T$152)</f>
        <v>87733.619748420329</v>
      </c>
      <c r="BO17" s="53">
        <f>BN17*(1+$T$152)</f>
        <v>88610.955945904527</v>
      </c>
      <c r="BP17" s="53">
        <f>BO17*(1+$T$152)</f>
        <v>89497.065505363571</v>
      </c>
      <c r="BQ17" s="53">
        <f>BP17*(1+$T$152)</f>
        <v>90392.036160417207</v>
      </c>
      <c r="BR17" s="53">
        <f>BQ17*(1+$T$152)</f>
        <v>91295.956522021384</v>
      </c>
      <c r="BS17" s="53">
        <f>BR17*(1+$T$152)</f>
        <v>92208.916087241596</v>
      </c>
      <c r="BT17" s="53">
        <f>BS17*(1+$T$152)</f>
        <v>93131.005248114016</v>
      </c>
      <c r="BU17" s="53">
        <f>BT17*(1+$T$152)</f>
        <v>94062.315300595161</v>
      </c>
      <c r="BV17" s="53">
        <f>BU17*(1+$T$152)</f>
        <v>95002.93845360112</v>
      </c>
      <c r="BW17" s="53">
        <f>BV17*(1+$T$152)</f>
        <v>95952.967838137134</v>
      </c>
      <c r="BX17" s="53">
        <f>BW17*(1+$T$152)</f>
        <v>96912.497516518502</v>
      </c>
      <c r="BY17" s="53">
        <f>BX17*(1+$T$152)</f>
        <v>97881.622491683695</v>
      </c>
      <c r="BZ17" s="53">
        <f>BY17*(1+$T$152)</f>
        <v>98860.438716600533</v>
      </c>
      <c r="CA17" s="53">
        <f>BZ17*(1+$T$152)</f>
        <v>99849.04310376654</v>
      </c>
      <c r="CB17" s="53">
        <f>CA17*(1+$T$152)</f>
        <v>100847.53353480421</v>
      </c>
    </row>
    <row r="18" spans="1:80" ht="14.7" thickTop="1" x14ac:dyDescent="0.55000000000000004"/>
    <row r="19" spans="1:80" x14ac:dyDescent="0.55000000000000004">
      <c r="A19" t="s">
        <v>150</v>
      </c>
      <c r="B19" t="s">
        <v>96</v>
      </c>
    </row>
    <row r="21" spans="1:80" x14ac:dyDescent="0.55000000000000004">
      <c r="B21" t="s">
        <v>97</v>
      </c>
    </row>
    <row r="22" spans="1:80" x14ac:dyDescent="0.55000000000000004">
      <c r="B22" t="s">
        <v>98</v>
      </c>
    </row>
    <row r="23" spans="1:80" x14ac:dyDescent="0.55000000000000004">
      <c r="B23" t="s">
        <v>100</v>
      </c>
      <c r="D23">
        <v>16921</v>
      </c>
      <c r="E23">
        <v>21375</v>
      </c>
      <c r="F23">
        <v>23365</v>
      </c>
      <c r="G23">
        <v>25427</v>
      </c>
      <c r="H23">
        <v>25312</v>
      </c>
    </row>
    <row r="24" spans="1:80" x14ac:dyDescent="0.55000000000000004">
      <c r="B24" t="s">
        <v>99</v>
      </c>
      <c r="D24">
        <v>2860</v>
      </c>
      <c r="E24">
        <v>2532</v>
      </c>
      <c r="G24">
        <v>4201</v>
      </c>
      <c r="H24">
        <v>3801</v>
      </c>
    </row>
    <row r="25" spans="1:80" x14ac:dyDescent="0.55000000000000004">
      <c r="B25" t="s">
        <v>101</v>
      </c>
      <c r="D25">
        <v>12870</v>
      </c>
      <c r="E25">
        <v>14216</v>
      </c>
      <c r="G25">
        <v>21276</v>
      </c>
      <c r="H25">
        <v>22365</v>
      </c>
    </row>
    <row r="26" spans="1:80" x14ac:dyDescent="0.55000000000000004">
      <c r="B26" t="s">
        <v>133</v>
      </c>
      <c r="D26">
        <v>12534</v>
      </c>
      <c r="E26">
        <v>13866</v>
      </c>
      <c r="G26">
        <v>17694</v>
      </c>
      <c r="H26">
        <v>26089</v>
      </c>
    </row>
    <row r="27" spans="1:80" x14ac:dyDescent="0.55000000000000004">
      <c r="B27" t="s">
        <v>102</v>
      </c>
      <c r="D27">
        <v>4076</v>
      </c>
      <c r="E27">
        <v>4449</v>
      </c>
      <c r="G27">
        <v>3755</v>
      </c>
      <c r="H27">
        <v>0</v>
      </c>
    </row>
    <row r="28" spans="1:80" x14ac:dyDescent="0.55000000000000004">
      <c r="B28" t="s">
        <v>103</v>
      </c>
      <c r="D28">
        <v>4457</v>
      </c>
      <c r="E28">
        <v>5320</v>
      </c>
      <c r="G28">
        <v>6084</v>
      </c>
      <c r="H28">
        <v>8212</v>
      </c>
    </row>
    <row r="29" spans="1:80" x14ac:dyDescent="0.55000000000000004">
      <c r="B29" t="s">
        <v>104</v>
      </c>
      <c r="D29">
        <f>SUM(D23:D28)</f>
        <v>53718</v>
      </c>
      <c r="E29">
        <f>SUM(E23:E28)</f>
        <v>61758</v>
      </c>
      <c r="F29">
        <f>SUM(F23:F28)</f>
        <v>23365</v>
      </c>
      <c r="G29">
        <f>SUM(G23:G28)</f>
        <v>78437</v>
      </c>
      <c r="H29">
        <f>SUM(H23:H28)</f>
        <v>85779</v>
      </c>
    </row>
    <row r="30" spans="1:80" x14ac:dyDescent="0.55000000000000004">
      <c r="B30" t="s">
        <v>105</v>
      </c>
      <c r="D30">
        <v>41242</v>
      </c>
      <c r="E30">
        <v>43114</v>
      </c>
      <c r="G30">
        <v>47609</v>
      </c>
      <c r="H30">
        <v>52354</v>
      </c>
    </row>
    <row r="31" spans="1:80" x14ac:dyDescent="0.55000000000000004">
      <c r="B31" t="s">
        <v>106</v>
      </c>
    </row>
    <row r="32" spans="1:80" x14ac:dyDescent="0.55000000000000004">
      <c r="B32" t="s">
        <v>107</v>
      </c>
    </row>
    <row r="33" spans="2:8" x14ac:dyDescent="0.55000000000000004">
      <c r="B33" t="s">
        <v>108</v>
      </c>
      <c r="D33">
        <v>8626</v>
      </c>
      <c r="E33">
        <v>8969</v>
      </c>
      <c r="G33">
        <v>11450</v>
      </c>
      <c r="H33">
        <v>10553</v>
      </c>
    </row>
    <row r="34" spans="2:8" x14ac:dyDescent="0.55000000000000004">
      <c r="B34" t="s">
        <v>109</v>
      </c>
      <c r="D34">
        <v>71337</v>
      </c>
      <c r="E34">
        <v>75795</v>
      </c>
      <c r="G34">
        <v>103732</v>
      </c>
      <c r="H34">
        <v>106734</v>
      </c>
    </row>
    <row r="35" spans="2:8" x14ac:dyDescent="0.55000000000000004">
      <c r="B35" t="s">
        <v>110</v>
      </c>
    </row>
    <row r="36" spans="2:8" x14ac:dyDescent="0.55000000000000004">
      <c r="B36" t="s">
        <v>111</v>
      </c>
    </row>
    <row r="37" spans="2:8" x14ac:dyDescent="0.55000000000000004">
      <c r="B37" t="s">
        <v>112</v>
      </c>
      <c r="D37">
        <v>10856</v>
      </c>
      <c r="E37">
        <v>10044</v>
      </c>
      <c r="G37">
        <v>15194</v>
      </c>
      <c r="H37">
        <v>23268</v>
      </c>
    </row>
    <row r="38" spans="2:8" x14ac:dyDescent="0.55000000000000004">
      <c r="B38" t="s">
        <v>62</v>
      </c>
      <c r="D38">
        <v>11510</v>
      </c>
      <c r="E38">
        <v>12526</v>
      </c>
      <c r="G38">
        <v>17298</v>
      </c>
      <c r="H38">
        <v>19590</v>
      </c>
    </row>
    <row r="39" spans="2:8" x14ac:dyDescent="0.55000000000000004">
      <c r="B39" t="s">
        <v>113</v>
      </c>
      <c r="D39">
        <f>D29+D30+D33+D34+D37+D38</f>
        <v>197289</v>
      </c>
      <c r="E39">
        <f>E29+E30+E33+E34+E37+E38</f>
        <v>212206</v>
      </c>
      <c r="F39">
        <f>F29+F30+F33+F34+F37+F38</f>
        <v>23365</v>
      </c>
      <c r="G39">
        <f>G29+G30+G33+G34+G37+G38</f>
        <v>273720</v>
      </c>
      <c r="H39">
        <f>H29+H30+H33+H34+H37+H38</f>
        <v>298278</v>
      </c>
    </row>
    <row r="40" spans="2:8" x14ac:dyDescent="0.55000000000000004">
      <c r="B40" t="s">
        <v>114</v>
      </c>
    </row>
    <row r="41" spans="2:8" x14ac:dyDescent="0.55000000000000004">
      <c r="B41" t="s">
        <v>115</v>
      </c>
    </row>
    <row r="42" spans="2:8" x14ac:dyDescent="0.55000000000000004">
      <c r="B42" t="s">
        <v>63</v>
      </c>
      <c r="D42">
        <v>21872</v>
      </c>
      <c r="E42">
        <v>24483</v>
      </c>
      <c r="G42">
        <v>32395</v>
      </c>
      <c r="H42">
        <v>34224</v>
      </c>
    </row>
    <row r="43" spans="2:8" x14ac:dyDescent="0.55000000000000004">
      <c r="B43" t="s">
        <v>116</v>
      </c>
      <c r="D43">
        <v>22495</v>
      </c>
      <c r="E43">
        <v>24643</v>
      </c>
      <c r="G43">
        <v>31958</v>
      </c>
      <c r="H43">
        <v>34337</v>
      </c>
    </row>
    <row r="44" spans="2:8" x14ac:dyDescent="0.55000000000000004">
      <c r="B44" t="s">
        <v>117</v>
      </c>
      <c r="D44">
        <v>4819</v>
      </c>
      <c r="E44">
        <v>3620</v>
      </c>
      <c r="G44">
        <v>4274</v>
      </c>
      <c r="H44">
        <v>4545</v>
      </c>
    </row>
    <row r="45" spans="2:8" x14ac:dyDescent="0.55000000000000004">
      <c r="B45" t="s">
        <v>65</v>
      </c>
      <c r="D45">
        <v>2842</v>
      </c>
      <c r="E45">
        <v>2571</v>
      </c>
      <c r="G45">
        <v>3355</v>
      </c>
      <c r="H45">
        <v>3317</v>
      </c>
    </row>
    <row r="46" spans="2:8" x14ac:dyDescent="0.55000000000000004">
      <c r="B46" t="s">
        <v>118</v>
      </c>
      <c r="D46">
        <v>20392</v>
      </c>
      <c r="E46">
        <v>22975</v>
      </c>
      <c r="G46">
        <v>27072</v>
      </c>
      <c r="H46">
        <v>27346</v>
      </c>
    </row>
    <row r="47" spans="2:8" x14ac:dyDescent="0.55000000000000004">
      <c r="B47" t="s">
        <v>119</v>
      </c>
      <c r="D47">
        <f>SUM(D42:D46)</f>
        <v>72420</v>
      </c>
      <c r="E47">
        <f>SUM(E42:E46)</f>
        <v>78292</v>
      </c>
      <c r="F47">
        <f>SUM(F42:F46)</f>
        <v>0</v>
      </c>
      <c r="G47">
        <f>SUM(G42:G46)</f>
        <v>99054</v>
      </c>
      <c r="H47">
        <f>SUM(H42:H46)</f>
        <v>103769</v>
      </c>
    </row>
    <row r="48" spans="2:8" x14ac:dyDescent="0.55000000000000004">
      <c r="B48" t="s">
        <v>120</v>
      </c>
      <c r="D48">
        <v>38648</v>
      </c>
      <c r="E48">
        <v>42383</v>
      </c>
      <c r="G48">
        <v>58263</v>
      </c>
      <c r="H48">
        <v>72359</v>
      </c>
    </row>
    <row r="49" spans="1:8" x14ac:dyDescent="0.55000000000000004">
      <c r="B49" t="s">
        <v>55</v>
      </c>
      <c r="D49">
        <v>3367</v>
      </c>
      <c r="E49">
        <v>3265</v>
      </c>
      <c r="G49">
        <v>3021</v>
      </c>
      <c r="H49">
        <v>3620</v>
      </c>
    </row>
    <row r="50" spans="1:8" x14ac:dyDescent="0.55000000000000004">
      <c r="B50" t="s">
        <v>121</v>
      </c>
      <c r="D50">
        <v>12315</v>
      </c>
      <c r="E50">
        <v>11787</v>
      </c>
      <c r="G50">
        <v>14463</v>
      </c>
      <c r="H50">
        <v>15939</v>
      </c>
    </row>
    <row r="51" spans="1:8" x14ac:dyDescent="0.55000000000000004">
      <c r="B51" t="s">
        <v>122</v>
      </c>
      <c r="D51">
        <f>SUM(D47:D50)</f>
        <v>126750</v>
      </c>
      <c r="E51">
        <f>SUM(E47:E50)</f>
        <v>135727</v>
      </c>
      <c r="F51">
        <f>SUM(F47:F50)</f>
        <v>0</v>
      </c>
      <c r="G51">
        <f>SUM(G47:G50)</f>
        <v>174801</v>
      </c>
      <c r="H51">
        <f>SUM(H47:H50)</f>
        <v>195687</v>
      </c>
    </row>
    <row r="52" spans="1:8" x14ac:dyDescent="0.55000000000000004">
      <c r="B52" t="s">
        <v>123</v>
      </c>
    </row>
    <row r="53" spans="1:8" x14ac:dyDescent="0.55000000000000004">
      <c r="B53" t="s">
        <v>124</v>
      </c>
      <c r="D53">
        <v>2211</v>
      </c>
      <c r="E53">
        <v>1434</v>
      </c>
      <c r="G53">
        <v>4498</v>
      </c>
      <c r="H53">
        <v>4323</v>
      </c>
    </row>
    <row r="54" spans="1:8" x14ac:dyDescent="0.55000000000000004">
      <c r="B54" t="s">
        <v>125</v>
      </c>
    </row>
    <row r="55" spans="1:8" x14ac:dyDescent="0.55000000000000004">
      <c r="B55" t="s">
        <v>126</v>
      </c>
      <c r="D55">
        <v>0</v>
      </c>
      <c r="E55">
        <v>0</v>
      </c>
      <c r="G55">
        <v>0</v>
      </c>
      <c r="H55">
        <v>0</v>
      </c>
    </row>
    <row r="56" spans="1:8" x14ac:dyDescent="0.55000000000000004">
      <c r="B56" t="s">
        <v>127</v>
      </c>
      <c r="D56">
        <v>10</v>
      </c>
      <c r="E56">
        <v>10</v>
      </c>
      <c r="G56">
        <v>9</v>
      </c>
      <c r="H56">
        <v>9</v>
      </c>
    </row>
    <row r="57" spans="1:8" x14ac:dyDescent="0.55000000000000004">
      <c r="B57" t="s">
        <v>128</v>
      </c>
      <c r="D57">
        <v>69295</v>
      </c>
      <c r="E57">
        <v>77134</v>
      </c>
      <c r="G57">
        <v>95774</v>
      </c>
      <c r="H57">
        <v>96036</v>
      </c>
    </row>
    <row r="58" spans="1:8" x14ac:dyDescent="0.55000000000000004">
      <c r="B58" t="s">
        <v>129</v>
      </c>
      <c r="D58">
        <v>-3814</v>
      </c>
      <c r="E58">
        <v>-5384</v>
      </c>
      <c r="G58">
        <v>-7027</v>
      </c>
      <c r="H58">
        <v>-3387</v>
      </c>
    </row>
    <row r="59" spans="1:8" x14ac:dyDescent="0.55000000000000004">
      <c r="B59" t="s">
        <v>130</v>
      </c>
      <c r="D59">
        <v>2837</v>
      </c>
      <c r="E59">
        <v>3285</v>
      </c>
      <c r="G59">
        <v>5665</v>
      </c>
      <c r="H59">
        <v>5610</v>
      </c>
    </row>
    <row r="60" spans="1:8" x14ac:dyDescent="0.55000000000000004">
      <c r="B60" t="s">
        <v>131</v>
      </c>
      <c r="D60">
        <f>SUM(D55:D59)</f>
        <v>68328</v>
      </c>
      <c r="E60">
        <f>SUM(E55:E59)</f>
        <v>75045</v>
      </c>
      <c r="F60">
        <f>SUM(F55:F59)</f>
        <v>0</v>
      </c>
      <c r="G60">
        <f>SUM(G55:G59)</f>
        <v>94421</v>
      </c>
      <c r="H60">
        <f>SUM(H55:H59)</f>
        <v>98268</v>
      </c>
    </row>
    <row r="61" spans="1:8" x14ac:dyDescent="0.55000000000000004">
      <c r="B61" t="s">
        <v>132</v>
      </c>
      <c r="D61">
        <f>D60+D53+D51</f>
        <v>197289</v>
      </c>
      <c r="E61">
        <f>E60+E53+E51</f>
        <v>212206</v>
      </c>
      <c r="F61">
        <f>F60+F53+F51</f>
        <v>0</v>
      </c>
      <c r="G61">
        <f>G60+G53+G51</f>
        <v>273720</v>
      </c>
      <c r="H61">
        <f>H60+H53+H51</f>
        <v>298278</v>
      </c>
    </row>
    <row r="63" spans="1:8" x14ac:dyDescent="0.55000000000000004">
      <c r="A63" t="s">
        <v>150</v>
      </c>
      <c r="B63" t="s">
        <v>134</v>
      </c>
    </row>
    <row r="64" spans="1:8" x14ac:dyDescent="0.55000000000000004">
      <c r="B64" t="s">
        <v>135</v>
      </c>
      <c r="D64">
        <v>533</v>
      </c>
      <c r="E64">
        <v>502</v>
      </c>
      <c r="G64">
        <v>712</v>
      </c>
      <c r="H64">
        <v>364</v>
      </c>
    </row>
    <row r="65" spans="1:8" x14ac:dyDescent="0.55000000000000004">
      <c r="B65" t="s">
        <v>136</v>
      </c>
      <c r="D65">
        <v>4759</v>
      </c>
      <c r="E65">
        <v>4882</v>
      </c>
      <c r="G65">
        <v>5573</v>
      </c>
      <c r="H65">
        <v>4215</v>
      </c>
    </row>
    <row r="66" spans="1:8" x14ac:dyDescent="0.55000000000000004">
      <c r="B66" t="s">
        <v>137</v>
      </c>
      <c r="D66">
        <v>1767</v>
      </c>
      <c r="E66">
        <v>1851</v>
      </c>
      <c r="G66">
        <v>2007</v>
      </c>
      <c r="H66">
        <v>2267</v>
      </c>
    </row>
    <row r="67" spans="1:8" x14ac:dyDescent="0.55000000000000004">
      <c r="B67" t="s">
        <v>138</v>
      </c>
      <c r="D67">
        <v>1787</v>
      </c>
      <c r="E67">
        <v>2014</v>
      </c>
      <c r="G67">
        <v>2375</v>
      </c>
      <c r="H67">
        <v>1694</v>
      </c>
    </row>
    <row r="68" spans="1:8" x14ac:dyDescent="0.55000000000000004">
      <c r="B68" t="s">
        <v>139</v>
      </c>
      <c r="D68">
        <v>-3364</v>
      </c>
      <c r="E68">
        <v>-3857</v>
      </c>
      <c r="G68">
        <v>-4210</v>
      </c>
      <c r="H68">
        <v>-3645</v>
      </c>
    </row>
    <row r="69" spans="1:8" x14ac:dyDescent="0.55000000000000004">
      <c r="B69" t="s">
        <v>140</v>
      </c>
      <c r="D69">
        <f>SUM(D64:D68)</f>
        <v>5482</v>
      </c>
      <c r="E69">
        <f>SUM(E64:E68)</f>
        <v>5392</v>
      </c>
      <c r="G69">
        <f>SUM(G64:G68)</f>
        <v>6457</v>
      </c>
      <c r="H69">
        <f>SUM(H64:H68)</f>
        <v>4895</v>
      </c>
    </row>
    <row r="70" spans="1:8" x14ac:dyDescent="0.55000000000000004">
      <c r="B70" t="s">
        <v>141</v>
      </c>
      <c r="D70">
        <v>5010</v>
      </c>
      <c r="E70">
        <v>5712</v>
      </c>
      <c r="G70">
        <v>7822</v>
      </c>
      <c r="H70">
        <v>8984</v>
      </c>
    </row>
    <row r="71" spans="1:8" x14ac:dyDescent="0.55000000000000004">
      <c r="B71" t="s">
        <v>139</v>
      </c>
      <c r="D71">
        <v>-1866</v>
      </c>
      <c r="E71">
        <v>-2135</v>
      </c>
      <c r="G71">
        <v>-2829</v>
      </c>
      <c r="H71">
        <v>-3326</v>
      </c>
    </row>
    <row r="72" spans="1:8" x14ac:dyDescent="0.55000000000000004">
      <c r="B72" t="s">
        <v>142</v>
      </c>
      <c r="D72">
        <f>SUM(D70:D71)</f>
        <v>3144</v>
      </c>
      <c r="E72">
        <f>SUM(E70:E71)</f>
        <v>3577</v>
      </c>
      <c r="G72">
        <f>SUM(G70:G71)</f>
        <v>4993</v>
      </c>
      <c r="H72">
        <f>SUM(H70:H71)</f>
        <v>5658</v>
      </c>
    </row>
    <row r="73" spans="1:8" x14ac:dyDescent="0.55000000000000004">
      <c r="B73" t="s">
        <v>143</v>
      </c>
      <c r="D73">
        <f>D72+D69</f>
        <v>8626</v>
      </c>
      <c r="E73">
        <f>E72+E69</f>
        <v>8969</v>
      </c>
      <c r="F73">
        <f>F72+F69</f>
        <v>0</v>
      </c>
      <c r="G73">
        <f>G72+G69</f>
        <v>11450</v>
      </c>
      <c r="H73">
        <f>H72+H69</f>
        <v>10553</v>
      </c>
    </row>
    <row r="75" spans="1:8" x14ac:dyDescent="0.55000000000000004">
      <c r="A75" t="s">
        <v>150</v>
      </c>
      <c r="B75" t="s">
        <v>144</v>
      </c>
    </row>
    <row r="76" spans="1:8" x14ac:dyDescent="0.55000000000000004">
      <c r="B76" t="s">
        <v>145</v>
      </c>
      <c r="D76">
        <v>65659</v>
      </c>
      <c r="E76">
        <f>D79</f>
        <v>71337</v>
      </c>
      <c r="F76">
        <f>E79</f>
        <v>75795</v>
      </c>
      <c r="G76">
        <v>93352</v>
      </c>
      <c r="H76">
        <v>103732</v>
      </c>
    </row>
    <row r="77" spans="1:8" x14ac:dyDescent="0.55000000000000004">
      <c r="B77" t="s">
        <v>146</v>
      </c>
      <c r="D77">
        <v>6379</v>
      </c>
      <c r="E77">
        <v>4804</v>
      </c>
      <c r="G77">
        <v>10121</v>
      </c>
      <c r="H77">
        <v>4376</v>
      </c>
    </row>
    <row r="78" spans="1:8" x14ac:dyDescent="0.55000000000000004">
      <c r="B78" t="s">
        <v>147</v>
      </c>
      <c r="D78">
        <v>-701</v>
      </c>
      <c r="E78">
        <v>-346</v>
      </c>
      <c r="G78">
        <v>259</v>
      </c>
      <c r="H78">
        <v>-1374</v>
      </c>
    </row>
    <row r="79" spans="1:8" x14ac:dyDescent="0.55000000000000004">
      <c r="B79" t="s">
        <v>148</v>
      </c>
      <c r="D79">
        <f>SUM(D76:D78)</f>
        <v>71337</v>
      </c>
      <c r="E79">
        <f>SUM(E76:E78)</f>
        <v>75795</v>
      </c>
      <c r="F79">
        <f>SUM(F76:F78)</f>
        <v>75795</v>
      </c>
      <c r="G79">
        <f>SUM(G76:G78)</f>
        <v>103732</v>
      </c>
      <c r="H79">
        <f>SUM(H76:H78)</f>
        <v>106734</v>
      </c>
    </row>
    <row r="82" spans="1:8" x14ac:dyDescent="0.55000000000000004">
      <c r="A82" t="s">
        <v>150</v>
      </c>
      <c r="B82" t="s">
        <v>51</v>
      </c>
    </row>
    <row r="83" spans="1:8" x14ac:dyDescent="0.55000000000000004">
      <c r="B83" t="s">
        <v>52</v>
      </c>
    </row>
    <row r="84" spans="1:8" x14ac:dyDescent="0.55000000000000004">
      <c r="B84" t="s">
        <v>53</v>
      </c>
      <c r="D84">
        <v>15769</v>
      </c>
      <c r="E84" s="1">
        <f>E17</f>
        <v>17732</v>
      </c>
      <c r="F84" s="1">
        <f>F17</f>
        <v>20639</v>
      </c>
      <c r="G84" s="1">
        <f>G17</f>
        <v>23144</v>
      </c>
      <c r="H84" s="1">
        <f>H17</f>
        <v>15242</v>
      </c>
    </row>
    <row r="85" spans="1:8" x14ac:dyDescent="0.55000000000000004">
      <c r="B85" t="s">
        <v>54</v>
      </c>
    </row>
    <row r="86" spans="1:8" x14ac:dyDescent="0.55000000000000004">
      <c r="B86" t="s">
        <v>151</v>
      </c>
      <c r="D86">
        <v>2891</v>
      </c>
      <c r="E86" s="1">
        <f>E11</f>
        <v>3103</v>
      </c>
      <c r="F86">
        <v>3400</v>
      </c>
      <c r="G86">
        <v>3972</v>
      </c>
      <c r="H86">
        <v>4099</v>
      </c>
    </row>
    <row r="87" spans="1:8" x14ac:dyDescent="0.55000000000000004">
      <c r="B87" t="s">
        <v>55</v>
      </c>
      <c r="D87">
        <v>-8</v>
      </c>
      <c r="E87">
        <f>D49-E49</f>
        <v>102</v>
      </c>
      <c r="F87">
        <v>-673</v>
      </c>
      <c r="G87">
        <v>-245</v>
      </c>
      <c r="H87">
        <v>-296</v>
      </c>
    </row>
    <row r="88" spans="1:8" x14ac:dyDescent="0.55000000000000004">
      <c r="B88" t="s">
        <v>56</v>
      </c>
      <c r="D88">
        <v>679</v>
      </c>
      <c r="E88">
        <v>800</v>
      </c>
      <c r="F88">
        <v>925</v>
      </c>
      <c r="G88">
        <v>1059</v>
      </c>
      <c r="H88">
        <v>1018</v>
      </c>
    </row>
    <row r="89" spans="1:8" x14ac:dyDescent="0.55000000000000004">
      <c r="B89" t="s">
        <v>57</v>
      </c>
      <c r="E89">
        <v>0</v>
      </c>
      <c r="F89">
        <v>0</v>
      </c>
      <c r="G89">
        <v>0</v>
      </c>
      <c r="H89">
        <v>8310</v>
      </c>
    </row>
    <row r="90" spans="1:8" x14ac:dyDescent="0.55000000000000004">
      <c r="B90" t="s">
        <v>58</v>
      </c>
      <c r="E90">
        <v>0</v>
      </c>
      <c r="F90">
        <v>-588</v>
      </c>
      <c r="G90">
        <v>-489</v>
      </c>
      <c r="H90">
        <v>-3333</v>
      </c>
    </row>
    <row r="91" spans="1:8" x14ac:dyDescent="0.55000000000000004">
      <c r="B91" t="s">
        <v>59</v>
      </c>
      <c r="D91">
        <v>-52</v>
      </c>
      <c r="E91">
        <v>-944</v>
      </c>
      <c r="F91">
        <v>257</v>
      </c>
      <c r="G91">
        <v>-16</v>
      </c>
      <c r="H91">
        <v>-28</v>
      </c>
    </row>
    <row r="92" spans="1:8" x14ac:dyDescent="0.55000000000000004">
      <c r="B92" t="s">
        <v>60</v>
      </c>
    </row>
    <row r="93" spans="1:8" x14ac:dyDescent="0.55000000000000004">
      <c r="B93" t="s">
        <v>61</v>
      </c>
      <c r="D93">
        <v>-688</v>
      </c>
      <c r="E93">
        <v>-1000</v>
      </c>
      <c r="F93">
        <v>-2523</v>
      </c>
      <c r="G93">
        <v>-3114</v>
      </c>
      <c r="H93">
        <v>-1437</v>
      </c>
    </row>
    <row r="94" spans="1:8" x14ac:dyDescent="0.55000000000000004">
      <c r="B94" t="s">
        <v>62</v>
      </c>
      <c r="D94">
        <v>-2195</v>
      </c>
      <c r="E94">
        <v>-1031</v>
      </c>
      <c r="F94">
        <v>-1374</v>
      </c>
      <c r="G94">
        <v>-2444</v>
      </c>
      <c r="H94">
        <v>-4140</v>
      </c>
    </row>
    <row r="95" spans="1:8" x14ac:dyDescent="0.55000000000000004">
      <c r="B95" t="s">
        <v>63</v>
      </c>
      <c r="D95">
        <v>152</v>
      </c>
      <c r="E95">
        <v>2701</v>
      </c>
      <c r="F95">
        <v>4053</v>
      </c>
      <c r="G95">
        <v>3482</v>
      </c>
      <c r="H95">
        <v>2503</v>
      </c>
    </row>
    <row r="96" spans="1:8" x14ac:dyDescent="0.55000000000000004">
      <c r="B96" t="s">
        <v>64</v>
      </c>
      <c r="D96">
        <v>5348</v>
      </c>
      <c r="E96">
        <v>1162</v>
      </c>
      <c r="F96">
        <v>1964</v>
      </c>
      <c r="G96">
        <v>3516</v>
      </c>
      <c r="H96">
        <v>2463</v>
      </c>
    </row>
    <row r="97" spans="2:8" x14ac:dyDescent="0.55000000000000004">
      <c r="B97" t="s">
        <v>65</v>
      </c>
      <c r="D97">
        <v>278</v>
      </c>
      <c r="E97">
        <v>-310</v>
      </c>
      <c r="F97">
        <v>126</v>
      </c>
      <c r="G97">
        <v>203</v>
      </c>
      <c r="H97">
        <v>-197</v>
      </c>
    </row>
    <row r="98" spans="2:8" x14ac:dyDescent="0.55000000000000004">
      <c r="B98" t="s">
        <v>66</v>
      </c>
      <c r="D98" s="1">
        <f>SUM(D84:D97)</f>
        <v>22174</v>
      </c>
      <c r="E98" s="1">
        <f>SUM(E84:E97)</f>
        <v>22315</v>
      </c>
      <c r="F98" s="1">
        <f>SUM(F84:F97)</f>
        <v>26206</v>
      </c>
      <c r="G98" s="1">
        <f>SUM(G84:G97)</f>
        <v>29068</v>
      </c>
      <c r="H98" s="1">
        <f>SUM(H84:H97)</f>
        <v>24204</v>
      </c>
    </row>
    <row r="99" spans="2:8" x14ac:dyDescent="0.55000000000000004">
      <c r="B99" t="s">
        <v>67</v>
      </c>
    </row>
    <row r="100" spans="2:8" x14ac:dyDescent="0.55000000000000004">
      <c r="B100" t="s">
        <v>68</v>
      </c>
      <c r="D100">
        <v>-16577</v>
      </c>
      <c r="E100">
        <v>-17139</v>
      </c>
      <c r="F100">
        <v>-18825</v>
      </c>
      <c r="G100">
        <v>-18314</v>
      </c>
      <c r="H100">
        <v>-27308</v>
      </c>
    </row>
    <row r="101" spans="2:8" x14ac:dyDescent="0.55000000000000004">
      <c r="B101" t="s">
        <v>69</v>
      </c>
      <c r="D101">
        <v>6489</v>
      </c>
      <c r="E101">
        <v>7045</v>
      </c>
      <c r="F101">
        <v>5907</v>
      </c>
      <c r="G101">
        <v>7307</v>
      </c>
      <c r="H101">
        <v>18514</v>
      </c>
    </row>
    <row r="102" spans="2:8" x14ac:dyDescent="0.55000000000000004">
      <c r="B102" t="s">
        <v>70</v>
      </c>
      <c r="D102">
        <v>7252</v>
      </c>
      <c r="E102">
        <v>8251</v>
      </c>
      <c r="F102">
        <v>6081</v>
      </c>
      <c r="G102">
        <v>9230</v>
      </c>
      <c r="H102">
        <v>9319</v>
      </c>
    </row>
    <row r="103" spans="2:8" x14ac:dyDescent="0.55000000000000004">
      <c r="B103" t="s">
        <v>71</v>
      </c>
      <c r="D103">
        <v>-7139</v>
      </c>
      <c r="E103">
        <v>-4821</v>
      </c>
      <c r="F103">
        <v>-21458</v>
      </c>
      <c r="G103">
        <v>-10136</v>
      </c>
      <c r="H103">
        <v>-13408</v>
      </c>
    </row>
    <row r="104" spans="2:8" x14ac:dyDescent="0.55000000000000004">
      <c r="B104" t="s">
        <v>72</v>
      </c>
      <c r="D104">
        <v>-2051</v>
      </c>
      <c r="E104">
        <v>-2454</v>
      </c>
      <c r="F104">
        <v>-2802</v>
      </c>
      <c r="G104">
        <v>-3386</v>
      </c>
      <c r="H104">
        <v>-3499</v>
      </c>
    </row>
    <row r="105" spans="2:8" x14ac:dyDescent="0.55000000000000004">
      <c r="B105" t="s">
        <v>73</v>
      </c>
      <c r="D105">
        <v>0</v>
      </c>
      <c r="E105">
        <v>0</v>
      </c>
      <c r="F105">
        <v>0</v>
      </c>
      <c r="G105">
        <v>0</v>
      </c>
      <c r="H105">
        <v>-9033</v>
      </c>
    </row>
    <row r="106" spans="2:8" x14ac:dyDescent="0.55000000000000004">
      <c r="B106" t="s">
        <v>74</v>
      </c>
      <c r="D106">
        <v>0</v>
      </c>
      <c r="E106">
        <v>0</v>
      </c>
      <c r="F106">
        <v>0</v>
      </c>
      <c r="G106">
        <v>0</v>
      </c>
      <c r="H106">
        <v>4514</v>
      </c>
    </row>
    <row r="107" spans="2:8" x14ac:dyDescent="0.55000000000000004">
      <c r="B107" t="s">
        <v>75</v>
      </c>
      <c r="D107">
        <v>221</v>
      </c>
      <c r="E107">
        <v>0</v>
      </c>
      <c r="F107">
        <v>3414</v>
      </c>
      <c r="G107">
        <v>685</v>
      </c>
      <c r="H107">
        <v>2041</v>
      </c>
    </row>
    <row r="108" spans="2:8" x14ac:dyDescent="0.55000000000000004">
      <c r="B108" t="s">
        <v>59</v>
      </c>
      <c r="D108">
        <v>-727</v>
      </c>
      <c r="E108">
        <v>-1254</v>
      </c>
      <c r="F108">
        <v>-793</v>
      </c>
      <c r="G108">
        <v>-960</v>
      </c>
      <c r="H108">
        <v>-1667</v>
      </c>
    </row>
    <row r="109" spans="2:8" x14ac:dyDescent="0.55000000000000004">
      <c r="B109" t="s">
        <v>76</v>
      </c>
      <c r="D109">
        <f>SUM(D100:D108)</f>
        <v>-12532</v>
      </c>
      <c r="E109">
        <f>SUM(E100:E108)</f>
        <v>-10372</v>
      </c>
      <c r="F109">
        <f>SUM(F100:F108)</f>
        <v>-28476</v>
      </c>
      <c r="G109">
        <f>SUM(G100:G108)</f>
        <v>-15574</v>
      </c>
      <c r="H109">
        <f>SUM(H100:H108)</f>
        <v>-20527</v>
      </c>
    </row>
    <row r="110" spans="2:8" x14ac:dyDescent="0.55000000000000004">
      <c r="B110" t="s">
        <v>77</v>
      </c>
    </row>
    <row r="111" spans="2:8" x14ac:dyDescent="0.55000000000000004">
      <c r="B111" t="s">
        <v>78</v>
      </c>
      <c r="D111">
        <v>-4250</v>
      </c>
      <c r="E111">
        <v>-5000</v>
      </c>
      <c r="F111">
        <v>-7000</v>
      </c>
      <c r="G111">
        <v>-8000</v>
      </c>
      <c r="H111">
        <v>-9000</v>
      </c>
    </row>
    <row r="112" spans="2:8" x14ac:dyDescent="0.55000000000000004">
      <c r="B112" t="s">
        <v>79</v>
      </c>
      <c r="D112">
        <v>-4584</v>
      </c>
      <c r="E112">
        <v>-5280</v>
      </c>
      <c r="F112">
        <v>-5991</v>
      </c>
      <c r="G112">
        <v>-6761</v>
      </c>
      <c r="H112">
        <v>-7533</v>
      </c>
    </row>
    <row r="113" spans="2:8" x14ac:dyDescent="0.55000000000000004">
      <c r="B113" t="s">
        <v>80</v>
      </c>
      <c r="D113">
        <v>1440</v>
      </c>
      <c r="E113">
        <v>1355</v>
      </c>
      <c r="F113">
        <v>1253</v>
      </c>
      <c r="G113">
        <v>1353</v>
      </c>
      <c r="H113">
        <v>1846</v>
      </c>
    </row>
    <row r="114" spans="2:8" x14ac:dyDescent="0.55000000000000004">
      <c r="B114" t="s">
        <v>81</v>
      </c>
      <c r="D114">
        <v>-3150</v>
      </c>
      <c r="E114">
        <v>-3150</v>
      </c>
      <c r="F114">
        <v>-3015</v>
      </c>
      <c r="G114">
        <v>-2125</v>
      </c>
      <c r="H114">
        <v>-3000</v>
      </c>
    </row>
    <row r="115" spans="2:8" x14ac:dyDescent="0.55000000000000004">
      <c r="B115" t="s">
        <v>82</v>
      </c>
      <c r="D115">
        <v>872</v>
      </c>
      <c r="E115">
        <v>-1302</v>
      </c>
      <c r="F115">
        <v>732</v>
      </c>
      <c r="G115">
        <v>11</v>
      </c>
      <c r="H115">
        <v>-151</v>
      </c>
    </row>
    <row r="116" spans="2:8" x14ac:dyDescent="0.55000000000000004">
      <c r="B116" t="s">
        <v>83</v>
      </c>
      <c r="D116">
        <v>4864</v>
      </c>
      <c r="E116">
        <v>6933</v>
      </c>
      <c r="F116">
        <v>14819</v>
      </c>
      <c r="G116">
        <v>6394</v>
      </c>
      <c r="H116">
        <v>17811</v>
      </c>
    </row>
    <row r="117" spans="2:8" x14ac:dyDescent="0.55000000000000004">
      <c r="B117" t="s">
        <v>84</v>
      </c>
      <c r="D117">
        <v>1677</v>
      </c>
      <c r="E117">
        <v>622</v>
      </c>
      <c r="F117">
        <v>5548</v>
      </c>
      <c r="G117">
        <v>-521</v>
      </c>
      <c r="H117">
        <v>-1560</v>
      </c>
    </row>
    <row r="118" spans="2:8" x14ac:dyDescent="0.55000000000000004">
      <c r="B118" t="s">
        <v>85</v>
      </c>
      <c r="D118">
        <v>0</v>
      </c>
      <c r="E118">
        <v>-1338</v>
      </c>
      <c r="F118">
        <v>-176</v>
      </c>
      <c r="G118">
        <v>-730</v>
      </c>
      <c r="H118">
        <v>-280</v>
      </c>
    </row>
    <row r="119" spans="2:8" x14ac:dyDescent="0.55000000000000004">
      <c r="B119" t="s">
        <v>59</v>
      </c>
      <c r="D119">
        <v>-459</v>
      </c>
      <c r="E119">
        <v>-295</v>
      </c>
      <c r="F119">
        <v>-1944</v>
      </c>
      <c r="G119">
        <v>-1150</v>
      </c>
      <c r="H119">
        <v>-1645</v>
      </c>
    </row>
    <row r="120" spans="2:8" x14ac:dyDescent="0.55000000000000004">
      <c r="B120" t="s">
        <v>86</v>
      </c>
      <c r="D120">
        <f>SUM(D111:D119)</f>
        <v>-3590</v>
      </c>
      <c r="E120">
        <f>SUM(E111:E119)</f>
        <v>-7455</v>
      </c>
      <c r="F120">
        <f>SUM(F111:F119)</f>
        <v>4226</v>
      </c>
      <c r="G120">
        <f>SUM(G111:G119)</f>
        <v>-11529</v>
      </c>
      <c r="H120">
        <f>SUM(H111:H119)</f>
        <v>-3512</v>
      </c>
    </row>
    <row r="121" spans="2:8" x14ac:dyDescent="0.55000000000000004">
      <c r="B121" t="s">
        <v>87</v>
      </c>
      <c r="D121">
        <v>-116</v>
      </c>
      <c r="E121">
        <v>-62</v>
      </c>
      <c r="F121">
        <v>34</v>
      </c>
      <c r="G121">
        <v>97</v>
      </c>
      <c r="H121">
        <v>-61</v>
      </c>
    </row>
    <row r="122" spans="2:8" x14ac:dyDescent="0.55000000000000004">
      <c r="B122" t="s">
        <v>88</v>
      </c>
      <c r="D122" s="1">
        <f>D121+D120+D109+D98</f>
        <v>5936</v>
      </c>
      <c r="E122" s="1">
        <f>E121+E120+E109+E98</f>
        <v>4426</v>
      </c>
      <c r="F122" s="1">
        <f>F121+F120+F109+F98</f>
        <v>1990</v>
      </c>
      <c r="G122" s="1">
        <f>G121+G120+G109+G98</f>
        <v>2062</v>
      </c>
      <c r="H122" s="1">
        <f>H121+H120+H109+H98</f>
        <v>104</v>
      </c>
    </row>
    <row r="123" spans="2:8" x14ac:dyDescent="0.55000000000000004">
      <c r="B123" t="s">
        <v>89</v>
      </c>
      <c r="D123">
        <v>0</v>
      </c>
      <c r="E123">
        <v>0</v>
      </c>
      <c r="F123">
        <v>0</v>
      </c>
      <c r="G123">
        <v>0</v>
      </c>
      <c r="H123">
        <v>-219</v>
      </c>
    </row>
    <row r="124" spans="2:8" x14ac:dyDescent="0.55000000000000004">
      <c r="B124" t="s">
        <v>90</v>
      </c>
      <c r="D124" s="1">
        <f>SUM(D122:D123)</f>
        <v>5936</v>
      </c>
      <c r="E124" s="1">
        <f>SUM(E122:E123)</f>
        <v>4426</v>
      </c>
      <c r="F124" s="1">
        <f>SUM(F122:F123)</f>
        <v>1990</v>
      </c>
      <c r="G124" s="1">
        <f>SUM(G122:G123)</f>
        <v>2062</v>
      </c>
      <c r="H124" s="1">
        <f>SUM(H122:H123)</f>
        <v>-115</v>
      </c>
    </row>
    <row r="125" spans="2:8" x14ac:dyDescent="0.55000000000000004">
      <c r="B125" t="s">
        <v>91</v>
      </c>
      <c r="D125">
        <v>10985</v>
      </c>
      <c r="E125">
        <f>D126</f>
        <v>16921</v>
      </c>
      <c r="F125">
        <f>E23</f>
        <v>21375</v>
      </c>
      <c r="G125">
        <f>F23</f>
        <v>23365</v>
      </c>
      <c r="H125">
        <f>G23</f>
        <v>25427</v>
      </c>
    </row>
    <row r="126" spans="2:8" x14ac:dyDescent="0.55000000000000004">
      <c r="B126" t="s">
        <v>92</v>
      </c>
      <c r="D126" s="1">
        <f>D125+D124</f>
        <v>16921</v>
      </c>
      <c r="E126" s="1">
        <f>E125+E124</f>
        <v>21347</v>
      </c>
      <c r="F126" s="1">
        <f>F125+F124</f>
        <v>23365</v>
      </c>
      <c r="G126" s="1">
        <f>G125+G124</f>
        <v>25427</v>
      </c>
      <c r="H126" s="1">
        <f>H125+H124</f>
        <v>25312</v>
      </c>
    </row>
    <row r="127" spans="2:8" x14ac:dyDescent="0.55000000000000004">
      <c r="B127" t="s">
        <v>149</v>
      </c>
      <c r="D127">
        <f>D23</f>
        <v>16921</v>
      </c>
      <c r="E127">
        <f>E23</f>
        <v>21375</v>
      </c>
      <c r="F127">
        <f>F23</f>
        <v>23365</v>
      </c>
      <c r="G127">
        <f>G23</f>
        <v>25427</v>
      </c>
      <c r="H127">
        <f>H23</f>
        <v>25312</v>
      </c>
    </row>
    <row r="128" spans="2:8" x14ac:dyDescent="0.55000000000000004">
      <c r="B128" t="s">
        <v>93</v>
      </c>
    </row>
    <row r="129" spans="2:8" x14ac:dyDescent="0.55000000000000004">
      <c r="B129" t="s">
        <v>94</v>
      </c>
      <c r="D129">
        <v>1704</v>
      </c>
      <c r="F129">
        <v>1945</v>
      </c>
      <c r="G129">
        <v>3035</v>
      </c>
      <c r="H129">
        <v>3594</v>
      </c>
    </row>
    <row r="130" spans="2:8" x14ac:dyDescent="0.55000000000000004">
      <c r="B130" t="s">
        <v>95</v>
      </c>
      <c r="D130">
        <v>4935</v>
      </c>
      <c r="F130">
        <v>5222</v>
      </c>
      <c r="G130">
        <v>6078</v>
      </c>
      <c r="H130">
        <v>4620</v>
      </c>
    </row>
    <row r="150" spans="2:25" ht="14.7" thickBot="1" x14ac:dyDescent="0.6">
      <c r="C150" s="1"/>
      <c r="D150" s="1"/>
      <c r="E150" s="1"/>
      <c r="F150" s="1"/>
      <c r="G150" s="1"/>
      <c r="H150" s="1"/>
    </row>
    <row r="151" spans="2:25" ht="14.7" thickBot="1" x14ac:dyDescent="0.6">
      <c r="J151" s="41"/>
      <c r="K151" s="41"/>
      <c r="L151" s="41"/>
      <c r="M151" s="41"/>
      <c r="S151" s="58" t="s">
        <v>45</v>
      </c>
      <c r="T151" s="26"/>
    </row>
    <row r="152" spans="2:25" x14ac:dyDescent="0.55000000000000004">
      <c r="I152" s="42"/>
      <c r="S152" s="49" t="s">
        <v>41</v>
      </c>
      <c r="T152" s="50">
        <v>0.01</v>
      </c>
    </row>
    <row r="153" spans="2:25" x14ac:dyDescent="0.55000000000000004">
      <c r="S153" s="34" t="s">
        <v>42</v>
      </c>
      <c r="T153" s="51">
        <v>7.8200000000000006E-2</v>
      </c>
    </row>
    <row r="154" spans="2:25" ht="14.7" thickBot="1" x14ac:dyDescent="0.6">
      <c r="B154" t="s">
        <v>27</v>
      </c>
      <c r="C154" s="8">
        <f>C13/C7</f>
        <v>8.1290908715492147E-2</v>
      </c>
      <c r="D154" s="8">
        <f>D13/D7</f>
        <v>8.7131184836334932E-2</v>
      </c>
      <c r="E154" s="8">
        <f>E13/E7</f>
        <v>8.3345792897700596E-2</v>
      </c>
      <c r="F154" s="8">
        <f>F13/F7</f>
        <v>8.7718486435794454E-2</v>
      </c>
      <c r="G154" s="8">
        <f>G13/G7</f>
        <v>8.7072347708155057E-2</v>
      </c>
      <c r="H154" s="8">
        <f>H13/H7</f>
        <v>8.0661440298992207E-2</v>
      </c>
      <c r="S154" s="33" t="s">
        <v>43</v>
      </c>
      <c r="T154" s="59">
        <f>NPV(T153,H17:CV17)</f>
        <v>617527.17800957547</v>
      </c>
    </row>
    <row r="155" spans="2:25" x14ac:dyDescent="0.55000000000000004">
      <c r="B155" t="s">
        <v>16</v>
      </c>
      <c r="C155" s="8">
        <f>C17/C7</f>
        <v>5.8801181061716667E-2</v>
      </c>
      <c r="D155" s="8">
        <f>D17/D7</f>
        <v>6.1324331786840686E-2</v>
      </c>
      <c r="E155" s="8">
        <f>E17/E7</f>
        <v>6.1655719635462125E-2</v>
      </c>
      <c r="F155" s="8">
        <f>F17/F7</f>
        <v>6.3668782892504369E-2</v>
      </c>
      <c r="G155" s="8">
        <f>G17/G7</f>
        <v>6.2278336589330019E-2</v>
      </c>
      <c r="H155" s="8">
        <f>H17/H7</f>
        <v>3.8078535417884571E-2</v>
      </c>
      <c r="S155" s="49" t="s">
        <v>48</v>
      </c>
      <c r="T155" s="60">
        <f>T154/EV!E6</f>
        <v>681.84302727583372</v>
      </c>
    </row>
    <row r="156" spans="2:25" x14ac:dyDescent="0.55000000000000004">
      <c r="B156" t="s">
        <v>23</v>
      </c>
      <c r="C156" s="8"/>
      <c r="D156" s="8">
        <f>D7/C7-1</f>
        <v>6.1885982118890848E-2</v>
      </c>
      <c r="E156" s="8">
        <f>E7/D7-1</f>
        <v>0.11844085540617799</v>
      </c>
      <c r="F156" s="8">
        <f>F7/E7-1</f>
        <v>0.12713971286209524</v>
      </c>
      <c r="G156" s="8">
        <f>G7/F7-1</f>
        <v>0.14640827734281014</v>
      </c>
      <c r="H156" s="8">
        <f>H7/G7-1</f>
        <v>7.7110612396467326E-2</v>
      </c>
      <c r="S156" s="34" t="s">
        <v>49</v>
      </c>
      <c r="T156" s="61">
        <v>359.66</v>
      </c>
    </row>
    <row r="157" spans="2:25" ht="14.7" thickBot="1" x14ac:dyDescent="0.6">
      <c r="B157" t="s">
        <v>24</v>
      </c>
      <c r="C157" s="8"/>
      <c r="D157" s="8">
        <f>D12/C12-1</f>
        <v>5.5135523890861737E-2</v>
      </c>
      <c r="E157" s="8">
        <f>E12/D12-1</f>
        <v>0.12307869265898708</v>
      </c>
      <c r="F157" s="8">
        <f>F12/E12-1</f>
        <v>0.12176294537357712</v>
      </c>
      <c r="G157" s="8">
        <f>G12/F12-1</f>
        <v>0.14722024028918557</v>
      </c>
      <c r="H157" s="8">
        <f>H12/G12-1</f>
        <v>8.4674471797774098E-2</v>
      </c>
      <c r="S157" s="33" t="str">
        <f>IF(T157&gt;=0,"Underpriced","Overpriced")</f>
        <v>Underpriced</v>
      </c>
      <c r="T157" s="52">
        <f>T155-T156</f>
        <v>322.18302727583369</v>
      </c>
    </row>
    <row r="158" spans="2:25" x14ac:dyDescent="0.55000000000000004">
      <c r="D158" s="8">
        <f>(D17/C17)-1</f>
        <v>0.10745136596671112</v>
      </c>
      <c r="E158" s="8">
        <f>(E17/D17)-1</f>
        <v>0.12448474855729597</v>
      </c>
      <c r="F158" s="8">
        <f>(F17/E17)-1</f>
        <v>0.16394089781186549</v>
      </c>
      <c r="G158" s="8">
        <f>(G17/F17)-1</f>
        <v>0.12137215950385194</v>
      </c>
      <c r="H158" s="8">
        <f>(H17/G17)-1</f>
        <v>-0.34142758382302107</v>
      </c>
    </row>
    <row r="159" spans="2:25" ht="14.7" customHeight="1" thickBot="1" x14ac:dyDescent="0.6"/>
    <row r="160" spans="2:25" ht="14.7" thickBot="1" x14ac:dyDescent="0.6">
      <c r="B160" s="43" t="s">
        <v>40</v>
      </c>
      <c r="C160" s="44"/>
      <c r="D160" s="44"/>
      <c r="E160" s="44"/>
      <c r="F160" s="44"/>
      <c r="G160" s="44"/>
      <c r="H160" s="44"/>
      <c r="I160" s="20" t="s">
        <v>44</v>
      </c>
      <c r="S160" s="67" t="s">
        <v>50</v>
      </c>
      <c r="T160" s="68"/>
      <c r="U160" s="68"/>
      <c r="V160" s="68"/>
      <c r="W160" s="68"/>
      <c r="X160" s="68"/>
      <c r="Y160" s="69"/>
    </row>
    <row r="161" spans="2:25" x14ac:dyDescent="0.55000000000000004">
      <c r="B161" s="34" t="s">
        <v>0</v>
      </c>
      <c r="D161" s="41">
        <f t="shared" ref="D161:H172" si="42">D3/C3-1</f>
        <v>6.2093105393280945E-2</v>
      </c>
      <c r="E161" s="41">
        <f t="shared" si="42"/>
        <v>0.12286701277558842</v>
      </c>
      <c r="F161" s="41">
        <f t="shared" si="42"/>
        <v>0.13669093368341478</v>
      </c>
      <c r="G161" s="41">
        <f t="shared" si="42"/>
        <v>0.13093168764606844</v>
      </c>
      <c r="H161" s="41">
        <f t="shared" si="42"/>
        <v>6.1834011285059498E-2</v>
      </c>
      <c r="I161" s="45">
        <f>AVERAGE(D161:H161)</f>
        <v>0.10288335015668242</v>
      </c>
      <c r="S161" s="70"/>
      <c r="T161" s="71"/>
      <c r="U161" s="71"/>
      <c r="V161" s="71"/>
      <c r="W161" s="71"/>
      <c r="X161" s="71"/>
      <c r="Y161" s="72"/>
    </row>
    <row r="162" spans="2:25" x14ac:dyDescent="0.55000000000000004">
      <c r="B162" s="34" t="s">
        <v>1</v>
      </c>
      <c r="D162" s="41">
        <f t="shared" si="42"/>
        <v>8.0640567142450159E-2</v>
      </c>
      <c r="E162" s="41">
        <f t="shared" si="42"/>
        <v>8.5517645336066206E-3</v>
      </c>
      <c r="F162" s="41">
        <f t="shared" si="42"/>
        <v>8.6738101460638317E-2</v>
      </c>
      <c r="G162" s="41">
        <f t="shared" si="42"/>
        <v>0.13785271483539985</v>
      </c>
      <c r="H162" s="41">
        <f t="shared" si="42"/>
        <v>0.17948477091797188</v>
      </c>
      <c r="I162" s="45">
        <f t="shared" ref="I162:I174" si="43">AVERAGE(D162:H162)</f>
        <v>9.8653583778013365E-2</v>
      </c>
      <c r="S162" s="70"/>
      <c r="T162" s="71"/>
      <c r="U162" s="71"/>
      <c r="V162" s="71"/>
      <c r="W162" s="71"/>
      <c r="X162" s="71"/>
      <c r="Y162" s="72"/>
    </row>
    <row r="163" spans="2:25" x14ac:dyDescent="0.55000000000000004">
      <c r="B163" s="34" t="s">
        <v>2</v>
      </c>
      <c r="D163" s="41">
        <f t="shared" si="42"/>
        <v>5.4972856164022588E-2</v>
      </c>
      <c r="E163" s="41">
        <f t="shared" si="42"/>
        <v>0.22916666666666674</v>
      </c>
      <c r="F163" s="41">
        <f t="shared" si="42"/>
        <v>0.1198227858391252</v>
      </c>
      <c r="G163" s="41">
        <f t="shared" si="42"/>
        <v>0.23853943595513782</v>
      </c>
      <c r="H163" s="41">
        <f t="shared" si="42"/>
        <v>5.6179116724789813E-2</v>
      </c>
      <c r="I163" s="45">
        <f t="shared" si="43"/>
        <v>0.13973617226994844</v>
      </c>
      <c r="S163" s="70"/>
      <c r="T163" s="71"/>
      <c r="U163" s="71"/>
      <c r="V163" s="71"/>
      <c r="W163" s="71"/>
      <c r="X163" s="71"/>
      <c r="Y163" s="72"/>
    </row>
    <row r="164" spans="2:25" x14ac:dyDescent="0.55000000000000004">
      <c r="B164" s="34" t="s">
        <v>3</v>
      </c>
      <c r="D164" s="41">
        <f t="shared" si="42"/>
        <v>-0.2036055143160127</v>
      </c>
      <c r="E164" s="41">
        <f t="shared" si="42"/>
        <v>0.54727030625832218</v>
      </c>
      <c r="F164" s="41">
        <f t="shared" si="42"/>
        <v>-0.12650602409638556</v>
      </c>
      <c r="G164" s="41">
        <f t="shared" si="42"/>
        <v>1.0142857142857142</v>
      </c>
      <c r="H164" s="41">
        <f t="shared" si="42"/>
        <v>0.27219369038884822</v>
      </c>
      <c r="I164" s="45">
        <f t="shared" si="43"/>
        <v>0.30072763450409729</v>
      </c>
      <c r="S164" s="70"/>
      <c r="T164" s="71"/>
      <c r="U164" s="71"/>
      <c r="V164" s="71"/>
      <c r="W164" s="71"/>
      <c r="X164" s="71"/>
      <c r="Y164" s="72"/>
    </row>
    <row r="165" spans="2:25" x14ac:dyDescent="0.55000000000000004">
      <c r="B165" s="46" t="s">
        <v>4</v>
      </c>
      <c r="D165" s="54">
        <f t="shared" si="42"/>
        <v>6.1885982118890848E-2</v>
      </c>
      <c r="E165" s="54">
        <f t="shared" si="42"/>
        <v>0.11844085540617799</v>
      </c>
      <c r="F165" s="54">
        <f t="shared" si="42"/>
        <v>0.12713971286209524</v>
      </c>
      <c r="G165" s="54">
        <f t="shared" si="42"/>
        <v>0.14640827734281014</v>
      </c>
      <c r="H165" s="54">
        <f t="shared" si="42"/>
        <v>7.7110612396467326E-2</v>
      </c>
      <c r="I165" s="55">
        <f t="shared" si="43"/>
        <v>0.10619708802528831</v>
      </c>
      <c r="S165" s="70"/>
      <c r="T165" s="71"/>
      <c r="U165" s="71"/>
      <c r="V165" s="71"/>
      <c r="W165" s="71"/>
      <c r="X165" s="71"/>
      <c r="Y165" s="72"/>
    </row>
    <row r="166" spans="2:25" x14ac:dyDescent="0.55000000000000004">
      <c r="B166" s="34" t="s">
        <v>5</v>
      </c>
      <c r="D166" s="41">
        <f t="shared" si="42"/>
        <v>1.8895423165430802E-2</v>
      </c>
      <c r="E166" s="41">
        <f t="shared" si="42"/>
        <v>0.17262039197972356</v>
      </c>
      <c r="F166" s="41">
        <f t="shared" si="42"/>
        <v>0.12803419809428007</v>
      </c>
      <c r="G166" s="41">
        <f t="shared" si="42"/>
        <v>0.14727615939898131</v>
      </c>
      <c r="H166" s="41">
        <f t="shared" si="42"/>
        <v>9.215193431833768E-2</v>
      </c>
      <c r="I166" s="45">
        <f t="shared" si="43"/>
        <v>0.11179562139135069</v>
      </c>
      <c r="O166" s="63"/>
      <c r="P166" s="63"/>
      <c r="Q166" s="63"/>
      <c r="R166" s="63"/>
      <c r="S166" s="73"/>
      <c r="T166" s="74"/>
      <c r="U166" s="74"/>
      <c r="V166" s="74"/>
      <c r="W166" s="74"/>
      <c r="X166" s="74"/>
      <c r="Y166" s="75"/>
    </row>
    <row r="167" spans="2:25" x14ac:dyDescent="0.55000000000000004">
      <c r="B167" s="34" t="s">
        <v>6</v>
      </c>
      <c r="D167" s="41">
        <f t="shared" si="42"/>
        <v>0.18500838234876249</v>
      </c>
      <c r="E167" s="41">
        <f t="shared" si="42"/>
        <v>2.0981200844043757E-2</v>
      </c>
      <c r="F167" s="41">
        <f t="shared" si="42"/>
        <v>0.12219638789074416</v>
      </c>
      <c r="G167" s="41">
        <f t="shared" si="42"/>
        <v>0.14327571051860533</v>
      </c>
      <c r="H167" s="41">
        <f t="shared" si="42"/>
        <v>-2.956359376144102E-2</v>
      </c>
      <c r="I167" s="45">
        <f t="shared" si="43"/>
        <v>8.8379617568142943E-2</v>
      </c>
      <c r="O167" s="63"/>
      <c r="P167" s="63"/>
      <c r="Q167" s="63"/>
      <c r="R167" s="63"/>
      <c r="S167" s="63"/>
      <c r="T167" s="63"/>
      <c r="U167" s="63"/>
      <c r="V167" s="63"/>
      <c r="W167" s="63"/>
    </row>
    <row r="168" spans="2:25" x14ac:dyDescent="0.55000000000000004">
      <c r="B168" s="34" t="s">
        <v>7</v>
      </c>
      <c r="D168" s="41">
        <f t="shared" si="42"/>
        <v>9.3466586051143441E-2</v>
      </c>
      <c r="E168" s="41">
        <f t="shared" si="42"/>
        <v>9.3999024231581352E-3</v>
      </c>
      <c r="F168" s="41">
        <f t="shared" si="42"/>
        <v>8.6002448926983277E-2</v>
      </c>
      <c r="G168" s="41">
        <f t="shared" si="42"/>
        <v>0.15034269946295575</v>
      </c>
      <c r="H168" s="41">
        <f t="shared" si="42"/>
        <v>0.2043848336342533</v>
      </c>
      <c r="I168" s="45">
        <f t="shared" si="43"/>
        <v>0.10871929409969878</v>
      </c>
    </row>
    <row r="169" spans="2:25" x14ac:dyDescent="0.55000000000000004">
      <c r="B169" s="34" t="s">
        <v>8</v>
      </c>
      <c r="D169" s="41">
        <f t="shared" si="42"/>
        <v>6.2867647058823639E-2</v>
      </c>
      <c r="E169" s="41">
        <f t="shared" si="42"/>
        <v>7.3331027326184683E-2</v>
      </c>
      <c r="F169" s="41">
        <f t="shared" si="42"/>
        <v>9.5713825330325575E-2</v>
      </c>
      <c r="G169" s="41">
        <f t="shared" si="42"/>
        <v>0.16823529411764704</v>
      </c>
      <c r="H169" s="41">
        <f t="shared" si="42"/>
        <v>3.1973816717019155E-2</v>
      </c>
      <c r="I169" s="45">
        <f t="shared" si="43"/>
        <v>8.6424322110000021E-2</v>
      </c>
    </row>
    <row r="170" spans="2:25" x14ac:dyDescent="0.55000000000000004">
      <c r="B170" s="46" t="s">
        <v>9</v>
      </c>
      <c r="D170" s="54">
        <f t="shared" si="42"/>
        <v>5.5135523890861737E-2</v>
      </c>
      <c r="E170" s="54">
        <f t="shared" si="42"/>
        <v>0.12307869265898708</v>
      </c>
      <c r="F170" s="54">
        <f t="shared" si="42"/>
        <v>0.12176294537357712</v>
      </c>
      <c r="G170" s="54">
        <f t="shared" si="42"/>
        <v>0.14722024028918557</v>
      </c>
      <c r="H170" s="54">
        <f t="shared" si="42"/>
        <v>8.4674471797774098E-2</v>
      </c>
      <c r="I170" s="55">
        <f t="shared" si="43"/>
        <v>0.10637437480207712</v>
      </c>
    </row>
    <row r="171" spans="2:25" x14ac:dyDescent="0.55000000000000004">
      <c r="B171" s="46" t="s">
        <v>10</v>
      </c>
      <c r="D171" s="54">
        <f t="shared" si="42"/>
        <v>0.1381762763525527</v>
      </c>
      <c r="E171" s="54">
        <f t="shared" si="42"/>
        <v>6.9850479803615251E-2</v>
      </c>
      <c r="F171" s="54">
        <f t="shared" si="42"/>
        <v>0.18627450980392157</v>
      </c>
      <c r="G171" s="54">
        <f t="shared" si="42"/>
        <v>0.13796377703534368</v>
      </c>
      <c r="H171" s="54">
        <f t="shared" si="42"/>
        <v>-2.1942023610853623E-3</v>
      </c>
      <c r="I171" s="55">
        <f t="shared" si="43"/>
        <v>0.10601416812686956</v>
      </c>
    </row>
    <row r="172" spans="2:25" x14ac:dyDescent="0.55000000000000004">
      <c r="B172" s="34" t="s">
        <v>11</v>
      </c>
      <c r="D172" s="41">
        <f t="shared" si="42"/>
        <v>-2.4061032863849752E-2</v>
      </c>
      <c r="E172" s="41">
        <f t="shared" si="42"/>
        <v>-1.8039687312086938E-3</v>
      </c>
      <c r="F172" s="41">
        <f t="shared" si="42"/>
        <v>0.26024096385542173</v>
      </c>
      <c r="G172" s="41">
        <f t="shared" si="42"/>
        <v>0.55162523900573612</v>
      </c>
      <c r="H172" s="41">
        <f t="shared" si="42"/>
        <v>0.20332717190388161</v>
      </c>
      <c r="I172" s="45">
        <f t="shared" si="43"/>
        <v>0.19786567463399621</v>
      </c>
    </row>
    <row r="173" spans="2:25" x14ac:dyDescent="0.55000000000000004">
      <c r="B173" s="34" t="s">
        <v>12</v>
      </c>
      <c r="D173" s="41"/>
      <c r="E173" s="41"/>
      <c r="F173" s="41"/>
      <c r="G173" s="41"/>
      <c r="H173" s="41"/>
      <c r="I173" s="45"/>
    </row>
    <row r="174" spans="2:25" x14ac:dyDescent="0.55000000000000004">
      <c r="B174" s="34" t="s">
        <v>13</v>
      </c>
      <c r="D174" s="41">
        <f t="shared" ref="D174:H175" si="44">D16/C16-1</f>
        <v>0.32896846606093</v>
      </c>
      <c r="E174" s="41">
        <f t="shared" si="44"/>
        <v>-7.9428916147194828E-2</v>
      </c>
      <c r="F174" s="41">
        <f t="shared" si="44"/>
        <v>0.24595893403232849</v>
      </c>
      <c r="G174" s="41">
        <f t="shared" si="44"/>
        <v>4.628330995792429E-2</v>
      </c>
      <c r="H174" s="41">
        <f t="shared" si="44"/>
        <v>-0.1908512064343163</v>
      </c>
      <c r="I174" s="45">
        <f t="shared" si="43"/>
        <v>7.018611749393433E-2</v>
      </c>
    </row>
    <row r="175" spans="2:25" ht="14.7" thickBot="1" x14ac:dyDescent="0.6">
      <c r="B175" s="47" t="s">
        <v>14</v>
      </c>
      <c r="C175" s="48"/>
      <c r="D175" s="56">
        <f t="shared" si="44"/>
        <v>0.10745136596671112</v>
      </c>
      <c r="E175" s="56">
        <f t="shared" si="44"/>
        <v>0.12448474855729597</v>
      </c>
      <c r="F175" s="56">
        <f t="shared" si="44"/>
        <v>0.16394089781186549</v>
      </c>
      <c r="G175" s="56">
        <f t="shared" si="44"/>
        <v>0.12137215950385194</v>
      </c>
      <c r="H175" s="56">
        <f t="shared" si="44"/>
        <v>-0.34142758382302107</v>
      </c>
      <c r="I175" s="57">
        <f>AVERAGE(D175:H175)</f>
        <v>3.516431760334069E-2</v>
      </c>
      <c r="J175" s="41"/>
    </row>
    <row r="180" spans="9:18" x14ac:dyDescent="0.55000000000000004">
      <c r="I180" s="42"/>
      <c r="J180" s="42"/>
      <c r="K180" s="42"/>
      <c r="L180" s="42"/>
      <c r="M180" s="42"/>
      <c r="N180" s="42"/>
      <c r="O180" s="42"/>
      <c r="P180" s="42"/>
      <c r="Q180" s="42"/>
      <c r="R180" s="42"/>
    </row>
  </sheetData>
  <mergeCells count="1">
    <mergeCell ref="S160:Y166"/>
  </mergeCells>
  <hyperlinks>
    <hyperlink ref="A1" location="MAIN!A1" tooltip="click to travel to main page" display="MAIN" xr:uid="{111E8870-67FD-4E3C-8020-90F6F8E485FD}"/>
  </hyperlinks>
  <pageMargins left="0.7" right="0.7" top="0.75" bottom="0.75" header="0.3" footer="0.3"/>
  <ignoredErrors>
    <ignoredError sqref="C7:G7" formulaRange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CB0F8-471E-4D10-9F41-086C9BDD21E6}">
  <dimension ref="A1"/>
  <sheetViews>
    <sheetView workbookViewId="0"/>
  </sheetViews>
  <sheetFormatPr defaultRowHeight="14.4" x14ac:dyDescent="0.55000000000000004"/>
  <cols>
    <col min="1" max="1" width="5.26171875" bestFit="1" customWidth="1"/>
  </cols>
  <sheetData>
    <row r="1" spans="1:1" ht="14.7" thickBot="1" x14ac:dyDescent="0.6">
      <c r="A1" s="16" t="s">
        <v>28</v>
      </c>
    </row>
  </sheetData>
  <hyperlinks>
    <hyperlink ref="A1" location="MAIN!A1" tooltip="click to travel to main page" display="MAIN" xr:uid="{51356D3E-2D1B-4BF6-BDDE-9A51828ADB0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380CA-09E5-48CD-990F-12F3D39EF67D}">
  <dimension ref="A1"/>
  <sheetViews>
    <sheetView workbookViewId="0"/>
  </sheetViews>
  <sheetFormatPr defaultRowHeight="14.4" x14ac:dyDescent="0.55000000000000004"/>
  <cols>
    <col min="1" max="1" width="5.26171875" bestFit="1" customWidth="1"/>
  </cols>
  <sheetData>
    <row r="1" spans="1:1" ht="14.7" thickBot="1" x14ac:dyDescent="0.6">
      <c r="A1" s="16" t="s">
        <v>28</v>
      </c>
    </row>
  </sheetData>
  <hyperlinks>
    <hyperlink ref="A1" location="MAIN!A1" tooltip="click to travel to main page" display="MAIN" xr:uid="{A6D7709B-BDCD-4C7C-8244-98BBD0D179D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EV</vt:lpstr>
      <vt:lpstr>IS - Q</vt:lpstr>
      <vt:lpstr>IS - Y</vt:lpstr>
      <vt:lpstr>BS - Q</vt:lpstr>
      <vt:lpstr>BS - 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E Pilcher</dc:creator>
  <cp:lastModifiedBy>Joshua E Pilcher</cp:lastModifiedBy>
  <cp:lastPrinted>2024-12-12T07:26:07Z</cp:lastPrinted>
  <dcterms:created xsi:type="dcterms:W3CDTF">2024-12-12T05:34:27Z</dcterms:created>
  <dcterms:modified xsi:type="dcterms:W3CDTF">2025-10-07T16:13:39Z</dcterms:modified>
</cp:coreProperties>
</file>