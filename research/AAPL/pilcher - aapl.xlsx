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jpilc\OneDrive - Louisiana State University\Desktop\"/>
    </mc:Choice>
  </mc:AlternateContent>
  <xr:revisionPtr revIDLastSave="0" documentId="8_{5066064B-9B2F-4F78-905E-44EA862C89C5}" xr6:coauthVersionLast="47" xr6:coauthVersionMax="47" xr10:uidLastSave="{00000000-0000-0000-0000-000000000000}"/>
  <bookViews>
    <workbookView xWindow="11442" yWindow="0" windowWidth="11676" windowHeight="13758" xr2:uid="{C5469320-14BB-4F1A-9CFA-6F3E9DB533A2}"/>
  </bookViews>
  <sheets>
    <sheet name="Model" sheetId="1" r:id="rId1"/>
  </sheets>
  <definedNames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Model!$D$233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 calcMode="autoNoTable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3" i="1" l="1"/>
  <c r="D164" i="1" s="1"/>
  <c r="F161" i="1"/>
  <c r="E161" i="1"/>
  <c r="E160" i="1" s="1"/>
  <c r="C168" i="1"/>
  <c r="C169" i="1" s="1"/>
  <c r="C170" i="1" s="1"/>
  <c r="C171" i="1" s="1"/>
  <c r="I168" i="1" l="1"/>
  <c r="J168" i="1"/>
  <c r="H168" i="1"/>
  <c r="K167" i="1"/>
  <c r="K168" i="1"/>
  <c r="H167" i="1"/>
  <c r="G167" i="1"/>
  <c r="J167" i="1"/>
  <c r="I167" i="1"/>
  <c r="F160" i="1"/>
  <c r="F137" i="1" l="1"/>
  <c r="F136" i="1"/>
  <c r="F124" i="1"/>
  <c r="G124" i="1" s="1"/>
  <c r="H124" i="1" s="1"/>
  <c r="I124" i="1" s="1"/>
  <c r="J124" i="1" s="1"/>
  <c r="K124" i="1" s="1"/>
  <c r="F120" i="1"/>
  <c r="E120" i="1"/>
  <c r="F118" i="1" s="1"/>
  <c r="F110" i="1"/>
  <c r="F115" i="1" s="1"/>
  <c r="F108" i="1"/>
  <c r="G106" i="1" s="1"/>
  <c r="E108" i="1"/>
  <c r="F106" i="1" s="1"/>
  <c r="F102" i="1"/>
  <c r="E102" i="1" s="1"/>
  <c r="D102" i="1" s="1"/>
  <c r="H102" i="1"/>
  <c r="I102" i="1" s="1"/>
  <c r="J102" i="1" s="1"/>
  <c r="K102" i="1" s="1"/>
  <c r="G324" i="1"/>
  <c r="H294" i="1"/>
  <c r="H295" i="1"/>
  <c r="I295" i="1" s="1"/>
  <c r="H298" i="1"/>
  <c r="H328" i="1" s="1"/>
  <c r="H297" i="1"/>
  <c r="I297" i="1" s="1"/>
  <c r="H304" i="1"/>
  <c r="H314" i="1" s="1"/>
  <c r="H305" i="1"/>
  <c r="H315" i="1" s="1"/>
  <c r="G327" i="1"/>
  <c r="G328" i="1"/>
  <c r="G325" i="1"/>
  <c r="G314" i="1"/>
  <c r="G315" i="1"/>
  <c r="G309" i="1"/>
  <c r="G310" i="1"/>
  <c r="F328" i="1"/>
  <c r="F327" i="1"/>
  <c r="E328" i="1"/>
  <c r="E327" i="1"/>
  <c r="F323" i="1"/>
  <c r="F324" i="1"/>
  <c r="F325" i="1"/>
  <c r="E324" i="1"/>
  <c r="E325" i="1"/>
  <c r="E323" i="1"/>
  <c r="F313" i="1"/>
  <c r="F314" i="1"/>
  <c r="F315" i="1"/>
  <c r="E314" i="1"/>
  <c r="E315" i="1"/>
  <c r="E313" i="1"/>
  <c r="D310" i="1"/>
  <c r="E310" i="1"/>
  <c r="F310" i="1"/>
  <c r="D309" i="1"/>
  <c r="E309" i="1"/>
  <c r="F309" i="1"/>
  <c r="E308" i="1"/>
  <c r="F308" i="1"/>
  <c r="D308" i="1"/>
  <c r="E299" i="1"/>
  <c r="F299" i="1"/>
  <c r="D299" i="1"/>
  <c r="H289" i="1"/>
  <c r="I289" i="1" s="1"/>
  <c r="J289" i="1" s="1"/>
  <c r="K289" i="1" s="1"/>
  <c r="F289" i="1"/>
  <c r="E289" i="1" s="1"/>
  <c r="D289" i="1" s="1"/>
  <c r="D11" i="1"/>
  <c r="I286" i="1"/>
  <c r="J286" i="1" s="1"/>
  <c r="K286" i="1" s="1"/>
  <c r="H285" i="1"/>
  <c r="D280" i="1"/>
  <c r="E280" i="1"/>
  <c r="F280" i="1"/>
  <c r="F277" i="1"/>
  <c r="E277" i="1"/>
  <c r="D277" i="1"/>
  <c r="H273" i="1"/>
  <c r="I273" i="1" s="1"/>
  <c r="J273" i="1" s="1"/>
  <c r="K273" i="1" s="1"/>
  <c r="F273" i="1"/>
  <c r="E273" i="1" s="1"/>
  <c r="D273" i="1" s="1"/>
  <c r="I41" i="1"/>
  <c r="J41" i="1" s="1"/>
  <c r="K41" i="1" s="1"/>
  <c r="D243" i="1"/>
  <c r="G243" i="1"/>
  <c r="G26" i="1"/>
  <c r="H26" i="1" s="1"/>
  <c r="I26" i="1" s="1"/>
  <c r="E227" i="1"/>
  <c r="F227" i="1"/>
  <c r="D227" i="1"/>
  <c r="E226" i="1"/>
  <c r="F226" i="1"/>
  <c r="G226" i="1" s="1"/>
  <c r="H226" i="1" s="1"/>
  <c r="I226" i="1" s="1"/>
  <c r="J226" i="1" s="1"/>
  <c r="K226" i="1" s="1"/>
  <c r="E217" i="1"/>
  <c r="F217" i="1"/>
  <c r="E213" i="1"/>
  <c r="F213" i="1"/>
  <c r="D213" i="1"/>
  <c r="F216" i="1"/>
  <c r="G216" i="1" s="1"/>
  <c r="H216" i="1" s="1"/>
  <c r="I216" i="1" s="1"/>
  <c r="J216" i="1" s="1"/>
  <c r="E216" i="1"/>
  <c r="H210" i="1"/>
  <c r="I210" i="1" s="1"/>
  <c r="J210" i="1" s="1"/>
  <c r="K210" i="1" s="1"/>
  <c r="K243" i="1" s="1"/>
  <c r="F210" i="1"/>
  <c r="E210" i="1" s="1"/>
  <c r="D210" i="1" s="1"/>
  <c r="G198" i="1"/>
  <c r="H198" i="1"/>
  <c r="I198" i="1"/>
  <c r="J198" i="1"/>
  <c r="K198" i="1"/>
  <c r="D206" i="1"/>
  <c r="E206" i="1"/>
  <c r="F206" i="1"/>
  <c r="G203" i="1" s="1"/>
  <c r="H193" i="1"/>
  <c r="I193" i="1" s="1"/>
  <c r="J193" i="1" s="1"/>
  <c r="K193" i="1" s="1"/>
  <c r="F193" i="1"/>
  <c r="E193" i="1" s="1"/>
  <c r="D193" i="1" s="1"/>
  <c r="F152" i="1"/>
  <c r="D190" i="1"/>
  <c r="E190" i="1"/>
  <c r="F190" i="1"/>
  <c r="G186" i="1" s="1"/>
  <c r="E188" i="1"/>
  <c r="F188" i="1"/>
  <c r="G188" i="1" s="1"/>
  <c r="E189" i="1"/>
  <c r="F189" i="1"/>
  <c r="G189" i="1" s="1"/>
  <c r="H189" i="1" s="1"/>
  <c r="H283" i="1" s="1"/>
  <c r="D189" i="1"/>
  <c r="D188" i="1"/>
  <c r="F183" i="1"/>
  <c r="G180" i="1" s="1"/>
  <c r="E183" i="1"/>
  <c r="F180" i="1" s="1"/>
  <c r="E177" i="1"/>
  <c r="F177" i="1"/>
  <c r="D177" i="1"/>
  <c r="H90" i="1"/>
  <c r="H91" i="1" s="1"/>
  <c r="G90" i="1"/>
  <c r="G91" i="1" s="1"/>
  <c r="E152" i="1"/>
  <c r="E175" i="1"/>
  <c r="E176" i="1" s="1"/>
  <c r="F175" i="1"/>
  <c r="F181" i="1" s="1"/>
  <c r="D175" i="1"/>
  <c r="D176" i="1" s="1"/>
  <c r="E154" i="1"/>
  <c r="G154" i="1" s="1"/>
  <c r="H154" i="1" s="1"/>
  <c r="I154" i="1" s="1"/>
  <c r="J154" i="1" s="1"/>
  <c r="K154" i="1" s="1"/>
  <c r="F154" i="1"/>
  <c r="D154" i="1"/>
  <c r="F146" i="1"/>
  <c r="H146" i="1"/>
  <c r="H79" i="1"/>
  <c r="I79" i="1" s="1"/>
  <c r="J79" i="1" s="1"/>
  <c r="K79" i="1" s="1"/>
  <c r="G65" i="1"/>
  <c r="E66" i="1"/>
  <c r="F66" i="1"/>
  <c r="E59" i="1"/>
  <c r="E61" i="1" s="1"/>
  <c r="F59" i="1"/>
  <c r="F61" i="1" s="1"/>
  <c r="E46" i="1"/>
  <c r="F46" i="1"/>
  <c r="F45" i="1"/>
  <c r="E45" i="1" s="1"/>
  <c r="F16" i="1"/>
  <c r="E16" i="1" s="1"/>
  <c r="D16" i="1" s="1"/>
  <c r="D147" i="1" s="1"/>
  <c r="F44" i="1"/>
  <c r="E44" i="1" s="1"/>
  <c r="F15" i="1"/>
  <c r="E15" i="1" s="1"/>
  <c r="D15" i="1" s="1"/>
  <c r="E39" i="1"/>
  <c r="F40" i="1"/>
  <c r="D40" i="1"/>
  <c r="C2" i="1"/>
  <c r="I146" i="1" l="1"/>
  <c r="H166" i="1"/>
  <c r="H172" i="1" s="1"/>
  <c r="H151" i="1" s="1"/>
  <c r="E146" i="1"/>
  <c r="D146" i="1" s="1"/>
  <c r="G166" i="1"/>
  <c r="G172" i="1" s="1"/>
  <c r="G151" i="1" s="1"/>
  <c r="F119" i="1"/>
  <c r="G118" i="1"/>
  <c r="F107" i="1"/>
  <c r="F103" i="1"/>
  <c r="D103" i="1"/>
  <c r="E103" i="1"/>
  <c r="H327" i="1"/>
  <c r="F246" i="1"/>
  <c r="H310" i="1"/>
  <c r="H320" i="1" s="1"/>
  <c r="F245" i="1"/>
  <c r="G319" i="1"/>
  <c r="I327" i="1"/>
  <c r="J297" i="1"/>
  <c r="I305" i="1"/>
  <c r="I315" i="1" s="1"/>
  <c r="I304" i="1"/>
  <c r="J304" i="1" s="1"/>
  <c r="K304" i="1" s="1"/>
  <c r="K314" i="1" s="1"/>
  <c r="E319" i="1"/>
  <c r="H309" i="1"/>
  <c r="H319" i="1" s="1"/>
  <c r="F320" i="1"/>
  <c r="G320" i="1"/>
  <c r="H324" i="1"/>
  <c r="I298" i="1"/>
  <c r="J298" i="1" s="1"/>
  <c r="I294" i="1"/>
  <c r="J294" i="1" s="1"/>
  <c r="I325" i="1"/>
  <c r="J295" i="1"/>
  <c r="E318" i="1"/>
  <c r="H325" i="1"/>
  <c r="I285" i="1"/>
  <c r="J285" i="1" s="1"/>
  <c r="K285" i="1" s="1"/>
  <c r="F300" i="1"/>
  <c r="F318" i="1"/>
  <c r="E320" i="1"/>
  <c r="F319" i="1"/>
  <c r="E300" i="1"/>
  <c r="D290" i="1"/>
  <c r="F290" i="1"/>
  <c r="E290" i="1"/>
  <c r="G283" i="1"/>
  <c r="I243" i="1"/>
  <c r="D274" i="1"/>
  <c r="F274" i="1"/>
  <c r="E274" i="1"/>
  <c r="J243" i="1"/>
  <c r="H243" i="1"/>
  <c r="F247" i="1"/>
  <c r="F248" i="1"/>
  <c r="F249" i="1"/>
  <c r="E218" i="1"/>
  <c r="E223" i="1" s="1"/>
  <c r="E221" i="1"/>
  <c r="F53" i="1"/>
  <c r="F68" i="1" s="1"/>
  <c r="F218" i="1"/>
  <c r="F223" i="1" s="1"/>
  <c r="G45" i="1"/>
  <c r="H45" i="1" s="1"/>
  <c r="I45" i="1" s="1"/>
  <c r="J45" i="1" s="1"/>
  <c r="K45" i="1" s="1"/>
  <c r="G197" i="1"/>
  <c r="F211" i="1"/>
  <c r="E211" i="1"/>
  <c r="D194" i="1"/>
  <c r="F221" i="1"/>
  <c r="F194" i="1"/>
  <c r="D211" i="1"/>
  <c r="E194" i="1"/>
  <c r="K216" i="1"/>
  <c r="F182" i="1"/>
  <c r="H95" i="1"/>
  <c r="I189" i="1"/>
  <c r="I283" i="1" s="1"/>
  <c r="H188" i="1"/>
  <c r="I188" i="1" s="1"/>
  <c r="J188" i="1" s="1"/>
  <c r="G96" i="1"/>
  <c r="E181" i="1"/>
  <c r="E182" i="1" s="1"/>
  <c r="F147" i="1"/>
  <c r="G95" i="1"/>
  <c r="G149" i="1"/>
  <c r="F176" i="1"/>
  <c r="G176" i="1" s="1"/>
  <c r="H176" i="1" s="1"/>
  <c r="I176" i="1" s="1"/>
  <c r="J176" i="1" s="1"/>
  <c r="K176" i="1" s="1"/>
  <c r="E147" i="1"/>
  <c r="G59" i="1"/>
  <c r="G221" i="1" s="1"/>
  <c r="H65" i="1"/>
  <c r="I65" i="1" s="1"/>
  <c r="J65" i="1" s="1"/>
  <c r="K65" i="1" s="1"/>
  <c r="G44" i="1"/>
  <c r="H44" i="1" s="1"/>
  <c r="I44" i="1" s="1"/>
  <c r="J44" i="1" s="1"/>
  <c r="K44" i="1" s="1"/>
  <c r="J26" i="1"/>
  <c r="G16" i="1"/>
  <c r="G103" i="1" s="1"/>
  <c r="E53" i="1"/>
  <c r="E68" i="1" s="1"/>
  <c r="G15" i="1"/>
  <c r="H15" i="1" s="1"/>
  <c r="I15" i="1" s="1"/>
  <c r="J15" i="1" s="1"/>
  <c r="K15" i="1" s="1"/>
  <c r="D39" i="1"/>
  <c r="F39" i="1"/>
  <c r="E40" i="1"/>
  <c r="F37" i="1"/>
  <c r="F114" i="1" s="1"/>
  <c r="E37" i="1"/>
  <c r="D20" i="1"/>
  <c r="F20" i="1"/>
  <c r="E20" i="1"/>
  <c r="J146" i="1" l="1"/>
  <c r="I166" i="1"/>
  <c r="I314" i="1"/>
  <c r="I310" i="1"/>
  <c r="I320" i="1" s="1"/>
  <c r="J305" i="1"/>
  <c r="J315" i="1" s="1"/>
  <c r="J309" i="1"/>
  <c r="K294" i="1"/>
  <c r="K309" i="1" s="1"/>
  <c r="J324" i="1"/>
  <c r="J314" i="1"/>
  <c r="J327" i="1"/>
  <c r="K297" i="1"/>
  <c r="K327" i="1" s="1"/>
  <c r="I328" i="1"/>
  <c r="J325" i="1"/>
  <c r="J328" i="1"/>
  <c r="K298" i="1"/>
  <c r="K328" i="1" s="1"/>
  <c r="I309" i="1"/>
  <c r="I319" i="1" s="1"/>
  <c r="I324" i="1"/>
  <c r="K295" i="1"/>
  <c r="K325" i="1" s="1"/>
  <c r="E222" i="1"/>
  <c r="G274" i="1"/>
  <c r="G290" i="1"/>
  <c r="F222" i="1"/>
  <c r="G222" i="1" s="1"/>
  <c r="G147" i="1"/>
  <c r="G194" i="1"/>
  <c r="G211" i="1"/>
  <c r="G244" i="1" s="1"/>
  <c r="H96" i="1"/>
  <c r="I96" i="1"/>
  <c r="J189" i="1"/>
  <c r="J283" i="1" s="1"/>
  <c r="I95" i="1"/>
  <c r="G152" i="1"/>
  <c r="G51" i="1" s="1"/>
  <c r="K188" i="1"/>
  <c r="K96" i="1" s="1"/>
  <c r="J96" i="1"/>
  <c r="H16" i="1"/>
  <c r="H103" i="1" s="1"/>
  <c r="G80" i="1"/>
  <c r="H59" i="1"/>
  <c r="H221" i="1" s="1"/>
  <c r="G93" i="1"/>
  <c r="K26" i="1"/>
  <c r="E23" i="1"/>
  <c r="E27" i="1" s="1"/>
  <c r="E38" i="1"/>
  <c r="F23" i="1"/>
  <c r="F38" i="1"/>
  <c r="D23" i="1"/>
  <c r="D38" i="1"/>
  <c r="K146" i="1" l="1"/>
  <c r="K166" i="1" s="1"/>
  <c r="J166" i="1"/>
  <c r="K305" i="1"/>
  <c r="K315" i="1" s="1"/>
  <c r="J310" i="1"/>
  <c r="J320" i="1" s="1"/>
  <c r="K319" i="1"/>
  <c r="K324" i="1"/>
  <c r="J319" i="1"/>
  <c r="H274" i="1"/>
  <c r="H290" i="1"/>
  <c r="H222" i="1"/>
  <c r="H223" i="1" s="1"/>
  <c r="G223" i="1"/>
  <c r="H147" i="1"/>
  <c r="H194" i="1"/>
  <c r="H211" i="1"/>
  <c r="H244" i="1" s="1"/>
  <c r="J95" i="1"/>
  <c r="K189" i="1"/>
  <c r="H149" i="1"/>
  <c r="H152" i="1" s="1"/>
  <c r="H51" i="1" s="1"/>
  <c r="I59" i="1"/>
  <c r="I221" i="1" s="1"/>
  <c r="H93" i="1"/>
  <c r="I16" i="1"/>
  <c r="I103" i="1" s="1"/>
  <c r="H80" i="1"/>
  <c r="E29" i="1"/>
  <c r="E276" i="1" s="1"/>
  <c r="E41" i="1"/>
  <c r="E32" i="1"/>
  <c r="E34" i="1" s="1"/>
  <c r="D32" i="1"/>
  <c r="D34" i="1" s="1"/>
  <c r="D27" i="1"/>
  <c r="F32" i="1"/>
  <c r="F34" i="1" s="1"/>
  <c r="F27" i="1"/>
  <c r="K310" i="1" l="1"/>
  <c r="K320" i="1" s="1"/>
  <c r="I222" i="1"/>
  <c r="I223" i="1" s="1"/>
  <c r="I274" i="1"/>
  <c r="I290" i="1"/>
  <c r="E278" i="1"/>
  <c r="E281" i="1"/>
  <c r="K95" i="1"/>
  <c r="K283" i="1"/>
  <c r="I147" i="1"/>
  <c r="I211" i="1"/>
  <c r="I244" i="1" s="1"/>
  <c r="I194" i="1"/>
  <c r="I149" i="1"/>
  <c r="E187" i="1"/>
  <c r="J16" i="1"/>
  <c r="J103" i="1" s="1"/>
  <c r="I80" i="1"/>
  <c r="J59" i="1"/>
  <c r="J221" i="1" s="1"/>
  <c r="I93" i="1"/>
  <c r="F29" i="1"/>
  <c r="F276" i="1" s="1"/>
  <c r="F41" i="1"/>
  <c r="D29" i="1"/>
  <c r="D276" i="1" s="1"/>
  <c r="D41" i="1"/>
  <c r="J222" i="1" l="1"/>
  <c r="K222" i="1" s="1"/>
  <c r="J274" i="1"/>
  <c r="J290" i="1"/>
  <c r="F278" i="1"/>
  <c r="F281" i="1"/>
  <c r="D278" i="1"/>
  <c r="D281" i="1"/>
  <c r="J147" i="1"/>
  <c r="J211" i="1"/>
  <c r="J244" i="1" s="1"/>
  <c r="J194" i="1"/>
  <c r="D187" i="1"/>
  <c r="F187" i="1"/>
  <c r="K59" i="1"/>
  <c r="J93" i="1"/>
  <c r="K16" i="1"/>
  <c r="K103" i="1" s="1"/>
  <c r="J80" i="1"/>
  <c r="J223" i="1" l="1"/>
  <c r="K274" i="1"/>
  <c r="K290" i="1"/>
  <c r="K211" i="1"/>
  <c r="K244" i="1" s="1"/>
  <c r="K194" i="1"/>
  <c r="K93" i="1"/>
  <c r="K221" i="1"/>
  <c r="K223" i="1" s="1"/>
  <c r="K80" i="1"/>
  <c r="K147" i="1"/>
  <c r="G260" i="1" l="1"/>
  <c r="H262" i="1"/>
  <c r="G262" i="1"/>
  <c r="G264" i="1"/>
  <c r="H264" i="1"/>
  <c r="G266" i="1"/>
  <c r="G248" i="1" s="1"/>
  <c r="G39" i="1" s="1"/>
  <c r="H266" i="1"/>
  <c r="H248" i="1" s="1"/>
  <c r="H39" i="1" s="1"/>
  <c r="G270" i="1"/>
  <c r="G249" i="1" s="1"/>
  <c r="G40" i="1" s="1"/>
  <c r="H270" i="1"/>
  <c r="H249" i="1" s="1"/>
  <c r="H40" i="1" s="1"/>
  <c r="H247" i="1" l="1"/>
  <c r="H38" i="1" s="1"/>
  <c r="G247" i="1"/>
  <c r="G38" i="1" s="1"/>
  <c r="H268" i="1"/>
  <c r="G268" i="1"/>
  <c r="H260" i="1"/>
  <c r="I260" i="1" l="1"/>
  <c r="J260" i="1"/>
  <c r="K260" i="1"/>
  <c r="I262" i="1"/>
  <c r="I247" i="1" s="1"/>
  <c r="I38" i="1" s="1"/>
  <c r="J262" i="1"/>
  <c r="J247" i="1" s="1"/>
  <c r="J38" i="1" s="1"/>
  <c r="K262" i="1"/>
  <c r="K247" i="1" s="1"/>
  <c r="K38" i="1" s="1"/>
  <c r="K264" i="1"/>
  <c r="I266" i="1"/>
  <c r="I248" i="1" s="1"/>
  <c r="I39" i="1" s="1"/>
  <c r="J266" i="1"/>
  <c r="J248" i="1" s="1"/>
  <c r="J39" i="1" s="1"/>
  <c r="K266" i="1"/>
  <c r="K248" i="1" s="1"/>
  <c r="K39" i="1" s="1"/>
  <c r="I268" i="1"/>
  <c r="J268" i="1"/>
  <c r="K268" i="1"/>
  <c r="I270" i="1"/>
  <c r="I249" i="1" s="1"/>
  <c r="I40" i="1" s="1"/>
  <c r="J270" i="1"/>
  <c r="J249" i="1" s="1"/>
  <c r="J40" i="1" s="1"/>
  <c r="K270" i="1"/>
  <c r="K249" i="1" s="1"/>
  <c r="K40" i="1" s="1"/>
  <c r="J264" i="1" l="1"/>
  <c r="I264" i="1"/>
  <c r="G256" i="1" l="1"/>
  <c r="G246" i="1" s="1"/>
  <c r="G308" i="1" s="1"/>
  <c r="G318" i="1" s="1"/>
  <c r="H256" i="1"/>
  <c r="H246" i="1" s="1"/>
  <c r="H308" i="1" s="1"/>
  <c r="G258" i="1"/>
  <c r="H318" i="1" l="1"/>
  <c r="G252" i="1"/>
  <c r="G254" i="1"/>
  <c r="H258" i="1"/>
  <c r="G245" i="1" l="1"/>
  <c r="G303" i="1" s="1"/>
  <c r="G293" i="1" s="1"/>
  <c r="H252" i="1"/>
  <c r="H254" i="1"/>
  <c r="I256" i="1"/>
  <c r="I246" i="1" s="1"/>
  <c r="I308" i="1" s="1"/>
  <c r="I318" i="1" s="1"/>
  <c r="I258" i="1"/>
  <c r="G313" i="1" l="1"/>
  <c r="H245" i="1"/>
  <c r="H303" i="1" s="1"/>
  <c r="G323" i="1"/>
  <c r="G299" i="1"/>
  <c r="G300" i="1" s="1"/>
  <c r="G37" i="1" s="1"/>
  <c r="H293" i="1"/>
  <c r="H313" i="1"/>
  <c r="I254" i="1"/>
  <c r="I252" i="1"/>
  <c r="I245" i="1" s="1"/>
  <c r="I303" i="1" s="1"/>
  <c r="I293" i="1" s="1"/>
  <c r="I299" i="1" s="1"/>
  <c r="J258" i="1"/>
  <c r="J256" i="1"/>
  <c r="J246" i="1" s="1"/>
  <c r="J308" i="1" s="1"/>
  <c r="J318" i="1" s="1"/>
  <c r="G114" i="1" l="1"/>
  <c r="G49" i="1"/>
  <c r="G50" i="1"/>
  <c r="G60" i="1"/>
  <c r="G87" i="1" s="1"/>
  <c r="G52" i="1"/>
  <c r="G183" i="1" s="1"/>
  <c r="H180" i="1" s="1"/>
  <c r="G33" i="1"/>
  <c r="G57" i="1"/>
  <c r="G18" i="1"/>
  <c r="G108" i="1" s="1"/>
  <c r="I313" i="1"/>
  <c r="I323" i="1"/>
  <c r="H323" i="1"/>
  <c r="H299" i="1"/>
  <c r="K258" i="1"/>
  <c r="K256" i="1"/>
  <c r="K246" i="1" s="1"/>
  <c r="K308" i="1" s="1"/>
  <c r="K318" i="1" s="1"/>
  <c r="J254" i="1"/>
  <c r="J252" i="1"/>
  <c r="J245" i="1" s="1"/>
  <c r="J303" i="1" s="1"/>
  <c r="G21" i="1" l="1"/>
  <c r="G20" i="1"/>
  <c r="G175" i="1"/>
  <c r="G177" i="1" s="1"/>
  <c r="G82" i="1" s="1"/>
  <c r="G22" i="1"/>
  <c r="G19" i="1"/>
  <c r="G63" i="1"/>
  <c r="G284" i="1"/>
  <c r="G277" i="1" s="1"/>
  <c r="G280" i="1" s="1"/>
  <c r="G83" i="1"/>
  <c r="J293" i="1"/>
  <c r="J313" i="1"/>
  <c r="H300" i="1"/>
  <c r="H37" i="1" s="1"/>
  <c r="H114" i="1" s="1"/>
  <c r="I300" i="1"/>
  <c r="I37" i="1" s="1"/>
  <c r="K252" i="1"/>
  <c r="K245" i="1" s="1"/>
  <c r="K303" i="1" s="1"/>
  <c r="K254" i="1"/>
  <c r="H49" i="1" l="1"/>
  <c r="I49" i="1" s="1"/>
  <c r="G120" i="1"/>
  <c r="G126" i="1"/>
  <c r="I150" i="1"/>
  <c r="I114" i="1"/>
  <c r="G181" i="1"/>
  <c r="G182" i="1" s="1"/>
  <c r="G86" i="1" s="1"/>
  <c r="G31" i="1"/>
  <c r="G56" i="1"/>
  <c r="G55" i="1"/>
  <c r="G23" i="1"/>
  <c r="K293" i="1"/>
  <c r="K313" i="1"/>
  <c r="J323" i="1"/>
  <c r="J299" i="1"/>
  <c r="J300" i="1" s="1"/>
  <c r="J37" i="1" s="1"/>
  <c r="I90" i="1"/>
  <c r="I91" i="1" s="1"/>
  <c r="H57" i="1"/>
  <c r="I57" i="1" s="1"/>
  <c r="H52" i="1"/>
  <c r="H50" i="1"/>
  <c r="I50" i="1" s="1"/>
  <c r="H33" i="1"/>
  <c r="H60" i="1"/>
  <c r="H18" i="1"/>
  <c r="J169" i="1" l="1"/>
  <c r="K169" i="1"/>
  <c r="I169" i="1"/>
  <c r="I172" i="1" s="1"/>
  <c r="I151" i="1" s="1"/>
  <c r="I152" i="1" s="1"/>
  <c r="G32" i="1"/>
  <c r="G34" i="1" s="1"/>
  <c r="G133" i="1"/>
  <c r="J49" i="1"/>
  <c r="H118" i="1"/>
  <c r="G48" i="1"/>
  <c r="G119" i="1"/>
  <c r="G85" i="1"/>
  <c r="J150" i="1"/>
  <c r="J114" i="1"/>
  <c r="J57" i="1"/>
  <c r="J50" i="1"/>
  <c r="K299" i="1"/>
  <c r="K300" i="1" s="1"/>
  <c r="K37" i="1" s="1"/>
  <c r="K150" i="1" s="1"/>
  <c r="K171" i="1" s="1"/>
  <c r="K323" i="1"/>
  <c r="H87" i="1"/>
  <c r="I60" i="1"/>
  <c r="H22" i="1"/>
  <c r="H175" i="1"/>
  <c r="H21" i="1"/>
  <c r="H20" i="1"/>
  <c r="I18" i="1"/>
  <c r="H63" i="1"/>
  <c r="H83" i="1"/>
  <c r="H284" i="1"/>
  <c r="H277" i="1" s="1"/>
  <c r="H280" i="1" s="1"/>
  <c r="I33" i="1"/>
  <c r="H183" i="1"/>
  <c r="I180" i="1" s="1"/>
  <c r="I52" i="1"/>
  <c r="J90" i="1"/>
  <c r="J91" i="1" s="1"/>
  <c r="J149" i="1"/>
  <c r="I51" i="1"/>
  <c r="K170" i="1" l="1"/>
  <c r="J170" i="1"/>
  <c r="K172" i="1"/>
  <c r="K151" i="1" s="1"/>
  <c r="J172" i="1"/>
  <c r="J151" i="1" s="1"/>
  <c r="K49" i="1"/>
  <c r="G130" i="1"/>
  <c r="J152" i="1"/>
  <c r="J51" i="1" s="1"/>
  <c r="K57" i="1"/>
  <c r="K114" i="1"/>
  <c r="H23" i="1"/>
  <c r="K50" i="1"/>
  <c r="J33" i="1"/>
  <c r="I83" i="1"/>
  <c r="I284" i="1"/>
  <c r="I277" i="1" s="1"/>
  <c r="I63" i="1"/>
  <c r="K149" i="1"/>
  <c r="K152" i="1" s="1"/>
  <c r="K51" i="1" s="1"/>
  <c r="H177" i="1"/>
  <c r="H82" i="1" s="1"/>
  <c r="H31" i="1" s="1"/>
  <c r="H181" i="1"/>
  <c r="H182" i="1" s="1"/>
  <c r="H86" i="1" s="1"/>
  <c r="J60" i="1"/>
  <c r="I87" i="1"/>
  <c r="J18" i="1"/>
  <c r="I175" i="1"/>
  <c r="I21" i="1"/>
  <c r="I22" i="1"/>
  <c r="I20" i="1"/>
  <c r="H19" i="1"/>
  <c r="H120" i="1" s="1"/>
  <c r="K90" i="1"/>
  <c r="K91" i="1" s="1"/>
  <c r="I183" i="1"/>
  <c r="J180" i="1" s="1"/>
  <c r="J52" i="1"/>
  <c r="H32" i="1" l="1"/>
  <c r="H34" i="1" s="1"/>
  <c r="I118" i="1"/>
  <c r="H48" i="1"/>
  <c r="H119" i="1"/>
  <c r="I23" i="1"/>
  <c r="I181" i="1"/>
  <c r="I182" i="1" s="1"/>
  <c r="I86" i="1" s="1"/>
  <c r="I177" i="1"/>
  <c r="I82" i="1" s="1"/>
  <c r="I31" i="1" s="1"/>
  <c r="I32" i="1" s="1"/>
  <c r="I34" i="1" s="1"/>
  <c r="K18" i="1"/>
  <c r="M18" i="1" s="1"/>
  <c r="J20" i="1"/>
  <c r="J21" i="1"/>
  <c r="J22" i="1"/>
  <c r="J175" i="1"/>
  <c r="J19" i="1"/>
  <c r="K60" i="1"/>
  <c r="K87" i="1" s="1"/>
  <c r="J87" i="1"/>
  <c r="J183" i="1"/>
  <c r="K180" i="1" s="1"/>
  <c r="K52" i="1"/>
  <c r="K183" i="1" s="1"/>
  <c r="H56" i="1"/>
  <c r="H55" i="1"/>
  <c r="J63" i="1"/>
  <c r="I280" i="1"/>
  <c r="I19" i="1"/>
  <c r="J284" i="1"/>
  <c r="J277" i="1" s="1"/>
  <c r="J83" i="1"/>
  <c r="K33" i="1"/>
  <c r="H133" i="1" l="1"/>
  <c r="H130" i="1"/>
  <c r="I56" i="1"/>
  <c r="J56" i="1" s="1"/>
  <c r="I120" i="1"/>
  <c r="J280" i="1"/>
  <c r="H85" i="1"/>
  <c r="I55" i="1"/>
  <c r="J177" i="1"/>
  <c r="J82" i="1" s="1"/>
  <c r="J31" i="1" s="1"/>
  <c r="J181" i="1"/>
  <c r="J182" i="1" s="1"/>
  <c r="J86" i="1" s="1"/>
  <c r="K83" i="1"/>
  <c r="K284" i="1"/>
  <c r="K277" i="1" s="1"/>
  <c r="K280" i="1" s="1"/>
  <c r="J23" i="1"/>
  <c r="K21" i="1"/>
  <c r="K20" i="1"/>
  <c r="K175" i="1"/>
  <c r="K22" i="1"/>
  <c r="K63" i="1"/>
  <c r="I133" i="1" l="1"/>
  <c r="I48" i="1"/>
  <c r="J118" i="1"/>
  <c r="J120" i="1" s="1"/>
  <c r="I119" i="1"/>
  <c r="K23" i="1"/>
  <c r="M23" i="1" s="1"/>
  <c r="J32" i="1"/>
  <c r="J34" i="1" s="1"/>
  <c r="I85" i="1"/>
  <c r="J55" i="1"/>
  <c r="K19" i="1"/>
  <c r="K56" i="1" s="1"/>
  <c r="K177" i="1"/>
  <c r="K82" i="1" s="1"/>
  <c r="K31" i="1" s="1"/>
  <c r="K32" i="1" s="1"/>
  <c r="K34" i="1" s="1"/>
  <c r="K181" i="1"/>
  <c r="K182" i="1" s="1"/>
  <c r="K86" i="1" s="1"/>
  <c r="J133" i="1" l="1"/>
  <c r="I130" i="1"/>
  <c r="J48" i="1"/>
  <c r="K118" i="1"/>
  <c r="K120" i="1" s="1"/>
  <c r="J119" i="1"/>
  <c r="J85" i="1"/>
  <c r="K55" i="1"/>
  <c r="K133" i="1" s="1"/>
  <c r="J130" i="1" l="1"/>
  <c r="K48" i="1"/>
  <c r="K130" i="1" s="1"/>
  <c r="K119" i="1"/>
  <c r="K85" i="1"/>
  <c r="G47" i="1"/>
  <c r="G128" i="1" l="1"/>
  <c r="G129" i="1" s="1"/>
  <c r="G131" i="1" s="1"/>
  <c r="G134" i="1" s="1"/>
  <c r="G110" i="1"/>
  <c r="G84" i="1"/>
  <c r="G107" i="1"/>
  <c r="H106" i="1"/>
  <c r="H108" i="1" l="1"/>
  <c r="H47" i="1" s="1"/>
  <c r="I106" i="1" l="1"/>
  <c r="I108" i="1" s="1"/>
  <c r="H128" i="1"/>
  <c r="H129" i="1" s="1"/>
  <c r="H131" i="1" s="1"/>
  <c r="H134" i="1" s="1"/>
  <c r="H107" i="1"/>
  <c r="H110" i="1"/>
  <c r="H84" i="1"/>
  <c r="I107" i="1"/>
  <c r="I47" i="1"/>
  <c r="J106" i="1"/>
  <c r="J108" i="1" s="1"/>
  <c r="I128" i="1" l="1"/>
  <c r="I129" i="1" s="1"/>
  <c r="I131" i="1" s="1"/>
  <c r="I134" i="1" s="1"/>
  <c r="J107" i="1"/>
  <c r="K106" i="1"/>
  <c r="K108" i="1" s="1"/>
  <c r="J47" i="1"/>
  <c r="I110" i="1"/>
  <c r="J110" i="1"/>
  <c r="I84" i="1"/>
  <c r="J84" i="1"/>
  <c r="J128" i="1" l="1"/>
  <c r="J129" i="1" s="1"/>
  <c r="J131" i="1" s="1"/>
  <c r="J134" i="1" s="1"/>
  <c r="K107" i="1"/>
  <c r="K47" i="1"/>
  <c r="K128" i="1" s="1"/>
  <c r="K129" i="1" s="1"/>
  <c r="K131" i="1" s="1"/>
  <c r="K134" i="1" s="1"/>
  <c r="K110" i="1"/>
  <c r="K84" i="1"/>
  <c r="G24" i="1" l="1"/>
  <c r="H24" i="1"/>
  <c r="I24" i="1"/>
  <c r="J24" i="1"/>
  <c r="K24" i="1"/>
  <c r="G25" i="1"/>
  <c r="H25" i="1"/>
  <c r="I25" i="1"/>
  <c r="J25" i="1"/>
  <c r="K25" i="1"/>
  <c r="G27" i="1"/>
  <c r="H27" i="1"/>
  <c r="I27" i="1"/>
  <c r="J27" i="1"/>
  <c r="K27" i="1"/>
  <c r="M27" i="1"/>
  <c r="G28" i="1"/>
  <c r="H28" i="1"/>
  <c r="I28" i="1"/>
  <c r="J28" i="1"/>
  <c r="K28" i="1"/>
  <c r="G29" i="1"/>
  <c r="H29" i="1"/>
  <c r="I29" i="1"/>
  <c r="J29" i="1"/>
  <c r="K29" i="1"/>
  <c r="M29" i="1"/>
  <c r="G46" i="1"/>
  <c r="H46" i="1"/>
  <c r="I46" i="1"/>
  <c r="J46" i="1"/>
  <c r="K46" i="1"/>
  <c r="G53" i="1"/>
  <c r="H53" i="1"/>
  <c r="I53" i="1"/>
  <c r="J53" i="1"/>
  <c r="K53" i="1"/>
  <c r="G58" i="1"/>
  <c r="H58" i="1"/>
  <c r="I58" i="1"/>
  <c r="J58" i="1"/>
  <c r="K58" i="1"/>
  <c r="G61" i="1"/>
  <c r="H61" i="1"/>
  <c r="I61" i="1"/>
  <c r="J61" i="1"/>
  <c r="K61" i="1"/>
  <c r="G64" i="1"/>
  <c r="H64" i="1"/>
  <c r="I64" i="1"/>
  <c r="J64" i="1"/>
  <c r="K64" i="1"/>
  <c r="G66" i="1"/>
  <c r="H66" i="1"/>
  <c r="I66" i="1"/>
  <c r="J66" i="1"/>
  <c r="K66" i="1"/>
  <c r="G68" i="1"/>
  <c r="H68" i="1"/>
  <c r="I68" i="1"/>
  <c r="J68" i="1"/>
  <c r="K68" i="1"/>
  <c r="G81" i="1"/>
  <c r="H81" i="1"/>
  <c r="I81" i="1"/>
  <c r="J81" i="1"/>
  <c r="K81" i="1"/>
  <c r="G88" i="1"/>
  <c r="H88" i="1"/>
  <c r="I88" i="1"/>
  <c r="J88" i="1"/>
  <c r="K88" i="1"/>
  <c r="G94" i="1"/>
  <c r="H94" i="1"/>
  <c r="I94" i="1"/>
  <c r="J94" i="1"/>
  <c r="K94" i="1"/>
  <c r="G97" i="1"/>
  <c r="H97" i="1"/>
  <c r="I97" i="1"/>
  <c r="J97" i="1"/>
  <c r="K97" i="1"/>
  <c r="G99" i="1"/>
  <c r="H99" i="1"/>
  <c r="I99" i="1"/>
  <c r="J99" i="1"/>
  <c r="K99" i="1"/>
  <c r="H186" i="1"/>
  <c r="I186" i="1"/>
  <c r="J186" i="1"/>
  <c r="K186" i="1"/>
  <c r="G187" i="1"/>
  <c r="H187" i="1"/>
  <c r="I187" i="1"/>
  <c r="J187" i="1"/>
  <c r="K187" i="1"/>
  <c r="G190" i="1"/>
  <c r="H190" i="1"/>
  <c r="I190" i="1"/>
  <c r="J190" i="1"/>
  <c r="K190" i="1"/>
  <c r="H197" i="1"/>
  <c r="I197" i="1"/>
  <c r="J197" i="1"/>
  <c r="K197" i="1"/>
  <c r="G199" i="1"/>
  <c r="H199" i="1"/>
  <c r="I199" i="1"/>
  <c r="J199" i="1"/>
  <c r="K199" i="1"/>
  <c r="G200" i="1"/>
  <c r="H200" i="1"/>
  <c r="I200" i="1"/>
  <c r="J200" i="1"/>
  <c r="K200" i="1"/>
  <c r="H203" i="1"/>
  <c r="I203" i="1"/>
  <c r="J203" i="1"/>
  <c r="K203" i="1"/>
  <c r="G204" i="1"/>
  <c r="H204" i="1"/>
  <c r="I204" i="1"/>
  <c r="J204" i="1"/>
  <c r="K204" i="1"/>
  <c r="G206" i="1"/>
  <c r="H206" i="1"/>
  <c r="I206" i="1"/>
  <c r="J206" i="1"/>
  <c r="K206" i="1"/>
  <c r="G207" i="1"/>
  <c r="H207" i="1"/>
  <c r="I207" i="1"/>
  <c r="J207" i="1"/>
  <c r="K207" i="1"/>
  <c r="G213" i="1"/>
  <c r="H213" i="1"/>
  <c r="I213" i="1"/>
  <c r="J213" i="1"/>
  <c r="K213" i="1"/>
  <c r="G217" i="1"/>
  <c r="H217" i="1"/>
  <c r="I217" i="1"/>
  <c r="J217" i="1"/>
  <c r="K217" i="1"/>
  <c r="G218" i="1"/>
  <c r="H218" i="1"/>
  <c r="I218" i="1"/>
  <c r="J218" i="1"/>
  <c r="K218" i="1"/>
  <c r="G227" i="1"/>
  <c r="H227" i="1"/>
  <c r="I227" i="1"/>
  <c r="J227" i="1"/>
  <c r="K227" i="1"/>
  <c r="D233" i="1"/>
  <c r="G276" i="1"/>
  <c r="H276" i="1"/>
  <c r="I276" i="1"/>
  <c r="J276" i="1"/>
  <c r="K276" i="1"/>
  <c r="G278" i="1"/>
  <c r="H278" i="1"/>
  <c r="I278" i="1"/>
  <c r="J278" i="1"/>
  <c r="K278" i="1"/>
  <c r="G281" i="1"/>
  <c r="H281" i="1"/>
  <c r="I281" i="1"/>
  <c r="J281" i="1"/>
  <c r="K281" i="1"/>
</calcChain>
</file>

<file path=xl/sharedStrings.xml><?xml version="1.0" encoding="utf-8"?>
<sst xmlns="http://schemas.openxmlformats.org/spreadsheetml/2006/main" count="399" uniqueCount="269">
  <si>
    <t>Company Name</t>
  </si>
  <si>
    <t>Ticker</t>
  </si>
  <si>
    <t>Latest closing share price</t>
  </si>
  <si>
    <t>Latest closing share price date</t>
  </si>
  <si>
    <t>Latest fiscal year end date</t>
  </si>
  <si>
    <t>Apple</t>
  </si>
  <si>
    <t>AAPL</t>
  </si>
  <si>
    <t>INCOME STATEMENT</t>
  </si>
  <si>
    <t>Fiscal year</t>
  </si>
  <si>
    <t>Fiscal year end date</t>
  </si>
  <si>
    <t>Gross Profit</t>
  </si>
  <si>
    <t>R&amp;D (-)</t>
  </si>
  <si>
    <t>SG&amp;A (-)</t>
  </si>
  <si>
    <t>Operating profit (EBIT)</t>
  </si>
  <si>
    <t>Interest expense (-)</t>
  </si>
  <si>
    <t>Interest income</t>
  </si>
  <si>
    <t>Pretax profit</t>
  </si>
  <si>
    <t>Taxes (-)</t>
  </si>
  <si>
    <t>Net Income</t>
  </si>
  <si>
    <t>EBITDA</t>
  </si>
  <si>
    <t>Adjusted EBITDA</t>
  </si>
  <si>
    <t>From cash flow statement</t>
  </si>
  <si>
    <t>EBIT + D&amp;A</t>
  </si>
  <si>
    <t>EBITDA + Stock compensation</t>
  </si>
  <si>
    <t>Growth rates &amp; margins</t>
  </si>
  <si>
    <t>Revenue growth</t>
  </si>
  <si>
    <t>Gross profit margin</t>
  </si>
  <si>
    <t>R&amp;D % of sales</t>
  </si>
  <si>
    <t>SG&amp;A % of sales</t>
  </si>
  <si>
    <t>Tax rate</t>
  </si>
  <si>
    <t>BALANCE SHEET</t>
  </si>
  <si>
    <t>X</t>
  </si>
  <si>
    <t>Cash &amp; equivalents, ST &amp; LT marketable securities</t>
  </si>
  <si>
    <t>Accounts receivable</t>
  </si>
  <si>
    <t>Inventories</t>
  </si>
  <si>
    <t>Other current assets</t>
  </si>
  <si>
    <t>Other non current assets</t>
  </si>
  <si>
    <t>Total assets</t>
  </si>
  <si>
    <t>Accounts payable</t>
  </si>
  <si>
    <t>Other current liabilities</t>
  </si>
  <si>
    <t>Deferred revenue (current and non current)</t>
  </si>
  <si>
    <t>Commercial paper / revolver</t>
  </si>
  <si>
    <t>Term debt (current and non current)</t>
  </si>
  <si>
    <t>Other non current liabilities</t>
  </si>
  <si>
    <t>Total liabilities</t>
  </si>
  <si>
    <t>Common stock</t>
  </si>
  <si>
    <t>Retained earnings</t>
  </si>
  <si>
    <t>AOCI</t>
  </si>
  <si>
    <t>Total Equity</t>
  </si>
  <si>
    <t>Balance check</t>
  </si>
  <si>
    <t>Additional data</t>
  </si>
  <si>
    <t>Capital expenditures (+)</t>
  </si>
  <si>
    <t>D&amp;A related to PP&amp;E (-)</t>
  </si>
  <si>
    <t>Dividends</t>
  </si>
  <si>
    <t>Repurchases</t>
  </si>
  <si>
    <t xml:space="preserve">Other income/expense, net </t>
  </si>
  <si>
    <t>Weighted average interest rate on commercial paper</t>
  </si>
  <si>
    <t>Weighted average interest rate on cash</t>
  </si>
  <si>
    <t>Property, Plant, Equipment (AAPL 10-K, pg. 35)</t>
  </si>
  <si>
    <t>From statement of shareholders' equity</t>
  </si>
  <si>
    <t>Note 6 - Debt (AAPL 10-K, pg. 47)</t>
  </si>
  <si>
    <t>Other income/Expense, Net (AAPL 10-K, pg. 22)</t>
  </si>
  <si>
    <t>WSP Comments</t>
  </si>
  <si>
    <t>Previous year's revenues x (1 + revenue growth rate)</t>
  </si>
  <si>
    <t>Revenue</t>
  </si>
  <si>
    <t>Cost of sales (-)</t>
  </si>
  <si>
    <t>Plug = Revenue - Gross Profit</t>
  </si>
  <si>
    <t>Revenue x Gross Profit Margin forecast</t>
  </si>
  <si>
    <t>Revenue x R&amp;D % of sales forecast</t>
  </si>
  <si>
    <t>Revenue x SG&amp;A % of sales forecast</t>
  </si>
  <si>
    <t>Gross Profit - R&amp;D - SG&amp;A</t>
  </si>
  <si>
    <t>Reference from interest on cash schedule</t>
  </si>
  <si>
    <t>Reference from interest expense schedule</t>
  </si>
  <si>
    <t>Straight-line</t>
  </si>
  <si>
    <t>EBIT + interest income - interest expense - other expense</t>
  </si>
  <si>
    <t>Pre-tax Profit x Tax Rate forecast</t>
  </si>
  <si>
    <t>Pre-tax Profit - taxes</t>
  </si>
  <si>
    <t>Depreciation &amp; amortization</t>
  </si>
  <si>
    <t>Stock compensation</t>
  </si>
  <si>
    <t>WSP assumption: grow SBC in-line with revenue growth</t>
  </si>
  <si>
    <t>Reference from 'net change in cash' line on the cash flow statement</t>
  </si>
  <si>
    <t>Grow in-line with revenue growth</t>
  </si>
  <si>
    <t>Reference from PP&amp;E schedule</t>
  </si>
  <si>
    <t>Grow in-line with cost of sales growth</t>
  </si>
  <si>
    <t>WSP assumption: straight-line</t>
  </si>
  <si>
    <t>Increase by stock-based compensation forecasted in the I/S section</t>
  </si>
  <si>
    <t>Reference from Retained Earnings schedule</t>
  </si>
  <si>
    <t>CASH FLOW STATEMENT</t>
  </si>
  <si>
    <t>Net income</t>
  </si>
  <si>
    <t>Depreciation and ammortization</t>
  </si>
  <si>
    <t>Stock based compensation</t>
  </si>
  <si>
    <t>Decreases / (Increases) in working capital assets</t>
  </si>
  <si>
    <t>Increases / (Decreases) in working capital liabilities</t>
  </si>
  <si>
    <t>Cash from operating activities</t>
  </si>
  <si>
    <t>Capital expenditures</t>
  </si>
  <si>
    <t>Cash from investing activities</t>
  </si>
  <si>
    <t>Long term debt</t>
  </si>
  <si>
    <t>Revolver</t>
  </si>
  <si>
    <t>Share repurchases</t>
  </si>
  <si>
    <t>Common dividends</t>
  </si>
  <si>
    <t>Cash from financing activities</t>
  </si>
  <si>
    <t>Net change in cash during period</t>
  </si>
  <si>
    <t>WSP assumption: grow with revenue</t>
  </si>
  <si>
    <t>PROPERTY, PLANT &amp; EQUIPMENT</t>
  </si>
  <si>
    <t>Beginning of period</t>
  </si>
  <si>
    <t>Plus: Capital expenditures</t>
  </si>
  <si>
    <t>Less: Depreciation</t>
  </si>
  <si>
    <t>End of period</t>
  </si>
  <si>
    <t>Forecast</t>
  </si>
  <si>
    <t>BOP = Previous year EOP</t>
  </si>
  <si>
    <t>JP Morgan though 2021; WSP assumption thereafter</t>
  </si>
  <si>
    <t>BOP + Capex - Depreciation</t>
  </si>
  <si>
    <t>Step</t>
  </si>
  <si>
    <t>D&amp;A related to PP&amp;E as a % of capex</t>
  </si>
  <si>
    <t>Property, plant &amp; equipment</t>
  </si>
  <si>
    <t>IMPUTING TOTAL DEPRECIATION &amp; AMORTIZATION</t>
  </si>
  <si>
    <r>
      <t xml:space="preserve">D&amp;A </t>
    </r>
    <r>
      <rPr>
        <u/>
        <sz val="11"/>
        <color theme="1"/>
        <rFont val="Calibri"/>
        <family val="2"/>
      </rPr>
      <t>not</t>
    </r>
    <r>
      <rPr>
        <sz val="11"/>
        <color theme="1"/>
        <rFont val="Calibri"/>
        <family val="2"/>
      </rPr>
      <t xml:space="preserve"> related to PP&amp;E</t>
    </r>
  </si>
  <si>
    <t>as % of revenue</t>
  </si>
  <si>
    <t>Depreciation &amp; Amortization - Total</t>
  </si>
  <si>
    <t xml:space="preserve"> </t>
  </si>
  <si>
    <t>Revenue x 'as % of revenue' assumption</t>
  </si>
  <si>
    <t>Straight line last historical % of revenue - WSP assumption</t>
  </si>
  <si>
    <t>D&amp;A from PP&amp;E + D&amp;A not from PP&amp;E</t>
  </si>
  <si>
    <t>Reference from D&amp;A schedule</t>
  </si>
  <si>
    <t>Reference additions to 'other non-current assets' from schedule</t>
  </si>
  <si>
    <t>OTHER NON-CURRENT ASSETS</t>
  </si>
  <si>
    <r>
      <t xml:space="preserve">Less: D&amp;A </t>
    </r>
    <r>
      <rPr>
        <u/>
        <sz val="11"/>
        <color theme="1"/>
        <rFont val="Calibri"/>
        <family val="2"/>
      </rPr>
      <t>not</t>
    </r>
    <r>
      <rPr>
        <sz val="11"/>
        <color theme="1"/>
        <rFont val="Calibri"/>
        <family val="2"/>
      </rPr>
      <t xml:space="preserve"> related to PP&amp;E</t>
    </r>
  </si>
  <si>
    <t>Plus: Additions</t>
  </si>
  <si>
    <t>Referenced from balance sheet</t>
  </si>
  <si>
    <t>Reference from income statement</t>
  </si>
  <si>
    <t>Assume all D&amp;A not from PP&amp;E is in non-current assets</t>
  </si>
  <si>
    <t>Because we already know the EOP balance, this is a plug: EOP - D&amp;A not from PP&amp;E - BOP</t>
  </si>
  <si>
    <t>RETAINED EARNINGS</t>
  </si>
  <si>
    <t>Plus: Net income</t>
  </si>
  <si>
    <t>Less: Dividends</t>
  </si>
  <si>
    <t>Less: Repurchases</t>
  </si>
  <si>
    <t>WSP assumption: Straight-line last historical year dividends</t>
  </si>
  <si>
    <t>WSP assumption: Straight-line last historical year repurchases</t>
  </si>
  <si>
    <t>BOP + net income - dividends - repurchases</t>
  </si>
  <si>
    <t>Reference from B/S</t>
  </si>
  <si>
    <t>REVOLVER (MODEL PLUG)</t>
  </si>
  <si>
    <t>Reference from Revolver schedule</t>
  </si>
  <si>
    <t>Revolver needs analysis</t>
  </si>
  <si>
    <t>Cash at beginning of period (BOP)</t>
  </si>
  <si>
    <t>Less: Minimum cash balance</t>
  </si>
  <si>
    <t>Plus: Current period cash flows except revolver</t>
  </si>
  <si>
    <t>Equals: Cash available (needed) to pay down (draw from) revolver</t>
  </si>
  <si>
    <t>Commercial paper / Revolver</t>
  </si>
  <si>
    <t>Draw / (paydown)</t>
  </si>
  <si>
    <t>Additional discretionary draw / (paydown)</t>
  </si>
  <si>
    <t xml:space="preserve">Debt balance: </t>
  </si>
  <si>
    <t>Reference prior period EOP from B/S</t>
  </si>
  <si>
    <t>WSP assumption</t>
  </si>
  <si>
    <r>
      <t xml:space="preserve">CFO + CFI + CFF </t>
    </r>
    <r>
      <rPr>
        <u/>
        <sz val="11"/>
        <color theme="1"/>
        <rFont val="Calibri"/>
        <family val="2"/>
      </rPr>
      <t>except revolver</t>
    </r>
  </si>
  <si>
    <t>Cash (paydown) / additional borrowing from revolver/CP. Paydown not to exceed BOP balance.</t>
  </si>
  <si>
    <t>INTEREST EXPENSE AND INTEREST INCOME</t>
  </si>
  <si>
    <t>Total interest expense</t>
  </si>
  <si>
    <t>Commercial Paper / Revolver</t>
  </si>
  <si>
    <t>Weighted average interest rate</t>
  </si>
  <si>
    <t>End of period balance (from B/S)</t>
  </si>
  <si>
    <t>Interest expense</t>
  </si>
  <si>
    <t>Interest expense from revolver/CP + interest expense from long term debt</t>
  </si>
  <si>
    <t>WSP assumption: Straight-line</t>
  </si>
  <si>
    <t>Reference from revolver / CP schedule above</t>
  </si>
  <si>
    <t>Interest rate x average of BOP &amp; EOP revolver balances (circularity)</t>
  </si>
  <si>
    <t>Interest rate on cash</t>
  </si>
  <si>
    <t>Interest rate x average of BOP &amp; EOP LTD balances</t>
  </si>
  <si>
    <t>Interest rate x average of BOP &amp; EOP B/S cash (circularity)</t>
  </si>
  <si>
    <t>JP Morgan estimates through 2021; straight-line growth rate thereafter</t>
  </si>
  <si>
    <t>JP Morgan estimates through 2021; straight-line margin thereafter</t>
  </si>
  <si>
    <t>Use BOP balances = 0, Use Average balances = 1</t>
  </si>
  <si>
    <t>Select an operating scenario:</t>
  </si>
  <si>
    <t>SENSITIVITY ANALYSIS</t>
  </si>
  <si>
    <t>First forecast year net income sensitivity</t>
  </si>
  <si>
    <t>Revenue growth rate</t>
  </si>
  <si>
    <t>Gross</t>
  </si>
  <si>
    <t>Profit</t>
  </si>
  <si>
    <t>Margin</t>
  </si>
  <si>
    <t>SCENARIO ANALYSIS</t>
  </si>
  <si>
    <t>Active case:</t>
  </si>
  <si>
    <t>Variance from</t>
  </si>
  <si>
    <t>Base case</t>
  </si>
  <si>
    <t>base case</t>
  </si>
  <si>
    <t>Best case</t>
  </si>
  <si>
    <t>Weak case</t>
  </si>
  <si>
    <t>NM</t>
  </si>
  <si>
    <t>EARNINGS PER SHARE</t>
  </si>
  <si>
    <t>Basic shares</t>
  </si>
  <si>
    <t>Basic EPS</t>
  </si>
  <si>
    <t>Diluted shares</t>
  </si>
  <si>
    <t>Diluted EPS</t>
  </si>
  <si>
    <t>$ amount of shares repurchased</t>
  </si>
  <si>
    <t>$ amount of new shares issued</t>
  </si>
  <si>
    <t>Average share price</t>
  </si>
  <si>
    <t>Share price increase</t>
  </si>
  <si>
    <t>Reference from I/S</t>
  </si>
  <si>
    <t>Last period basic shares + ($ shares issued - $ shares repurchased)/Current period average share price</t>
  </si>
  <si>
    <t>Net income / Basic Shares</t>
  </si>
  <si>
    <t>Basic shares + Dilutive securities</t>
  </si>
  <si>
    <t>Net income/Diluted Shares</t>
  </si>
  <si>
    <t>Reference from RE schedule - treasury repurchases (flip sign)</t>
  </si>
  <si>
    <t>Reference SBC from I/S</t>
  </si>
  <si>
    <t>Last period share price x (1+growth rate)</t>
  </si>
  <si>
    <t>Shares outstanding (thousands)</t>
  </si>
  <si>
    <t>From scenario analysis below</t>
  </si>
  <si>
    <t>Revenue by product</t>
  </si>
  <si>
    <t>Core products</t>
  </si>
  <si>
    <t>iPhone</t>
  </si>
  <si>
    <t>iPad</t>
  </si>
  <si>
    <t>Mac</t>
  </si>
  <si>
    <t>Services</t>
  </si>
  <si>
    <t>Other products</t>
  </si>
  <si>
    <t>Total revenue</t>
  </si>
  <si>
    <t>% growth</t>
  </si>
  <si>
    <t>CG estimates through 2020; WSP therafter</t>
  </si>
  <si>
    <t>Units</t>
  </si>
  <si>
    <t>Average selling price</t>
  </si>
  <si>
    <t>Units % growth</t>
  </si>
  <si>
    <t>Average selling price % growth</t>
  </si>
  <si>
    <t>Revenue growth rate by product</t>
  </si>
  <si>
    <t>iPhone Units</t>
  </si>
  <si>
    <t>iPhone ASP</t>
  </si>
  <si>
    <t>PRICE / VOLUME BUILD</t>
  </si>
  <si>
    <t>Base Case</t>
  </si>
  <si>
    <t>5 Year</t>
  </si>
  <si>
    <t>CAGR</t>
  </si>
  <si>
    <t>Reference from A/R schedule</t>
  </si>
  <si>
    <t>Reference from Inventories schedule</t>
  </si>
  <si>
    <t>WORKING CAPITAL</t>
  </si>
  <si>
    <t>ACCOUNTS RECEIVABLE</t>
  </si>
  <si>
    <t>Increases / (decreases)</t>
  </si>
  <si>
    <t>Average AR as % of sales</t>
  </si>
  <si>
    <t>Approach 1: Grow A/R with revenue growth rate</t>
  </si>
  <si>
    <t>Historical</t>
  </si>
  <si>
    <t>Approach 2: (DSO) Assumption</t>
  </si>
  <si>
    <t>INVENTORIES</t>
  </si>
  <si>
    <t>Select an inventory forecasting approach:</t>
  </si>
  <si>
    <t>Approach 1: Keep avg. inventory / COGS ratio constant</t>
  </si>
  <si>
    <t>Approach 2: Inventory turnover (using 365 day year)</t>
  </si>
  <si>
    <t>Select an A/R forecasting approach</t>
  </si>
  <si>
    <t xml:space="preserve">Avg. Inv. </t>
  </si>
  <si>
    <t>Working capital ratios / Liquidity</t>
  </si>
  <si>
    <t>Trade A/R Days sales outstanding (average)</t>
  </si>
  <si>
    <t>Trade A/R + Non-Trade A/R Days sales outstanding (average)</t>
  </si>
  <si>
    <t>Days inventory outstanding</t>
  </si>
  <si>
    <t>Operating cycle (inc vendor non-trade A/R)</t>
  </si>
  <si>
    <t>Days payable outstanding</t>
  </si>
  <si>
    <t>Net operating cycle (Cash conversion cycle)</t>
  </si>
  <si>
    <t>Current ratio (CA/CL)</t>
  </si>
  <si>
    <t>Quick Ratio (Cash + A/R / CL)</t>
  </si>
  <si>
    <t>Vendor non-trade receivables</t>
  </si>
  <si>
    <t>Memo</t>
  </si>
  <si>
    <t>Current assets</t>
  </si>
  <si>
    <t>Current liabilities</t>
  </si>
  <si>
    <t>Cash</t>
  </si>
  <si>
    <t>A/R</t>
  </si>
  <si>
    <t>From depreciation waterfall</t>
  </si>
  <si>
    <t>Depreciation waterfall</t>
  </si>
  <si>
    <t>Existing PP&amp;E</t>
  </si>
  <si>
    <t>Gross PP&amp;E</t>
  </si>
  <si>
    <t>Non-depreciable PP&amp;E (i.e. land)</t>
  </si>
  <si>
    <t>Accumulated depreciation</t>
  </si>
  <si>
    <t>Net PP&amp;E (excl. land)</t>
  </si>
  <si>
    <t>Average useful life</t>
  </si>
  <si>
    <t>Override - If necessary for smoothing</t>
  </si>
  <si>
    <t>Depreciation from existing PP&amp;E</t>
  </si>
  <si>
    <t>Total depreciation</t>
  </si>
  <si>
    <t>10k pg. 51</t>
  </si>
  <si>
    <t>Midyear adj.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</si>
</sst>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4" formatCode="_(&quot;$&quot;* #,##0.00_);_(&quot;$&quot;* \(#,##0.00\);_(&quot;$&quot;* &quot;-&quot;??_);_(@_)"/>
    <numFmt numFmtId="164" formatCode="####&quot;A&quot;"/>
    <numFmt numFmtId="165" formatCode="####&quot;P&quot;"/>
    <numFmt numFmtId="166" formatCode="&quot;$&quot;#,##0.00"/>
    <numFmt numFmtId="167" formatCode="_(\ #,##0\ _)_);_(\(\ #,##0\ \)_);_(\ #,##0_)"/>
    <numFmt numFmtId="168" formatCode="0.0%_)_)"/>
    <numFmt numFmtId="169" formatCode="0.00%_)_)"/>
    <numFmt numFmtId="170" formatCode="_(\ #,##0\ _)_);_(\(\ #,##0\ \)_);_(\ #,##0\ _)_)"/>
    <numFmt numFmtId="171" formatCode="0%_)_)"/>
    <numFmt numFmtId="172" formatCode="0.0%_)_);\(_)0.0%_)\)"/>
    <numFmt numFmtId="173" formatCode="0.0%;\(0.0%\)"/>
    <numFmt numFmtId="174" formatCode="_(&quot;$&quot;* #,##0.00_)_)_);_(&quot;$&quot;* \(_(#,##0.00_)\)_);_(&quot;$&quot;* &quot;-&quot;??_);_(@_)"/>
    <numFmt numFmtId="175" formatCode="#,##0.0%_)_);\(_)#,##0.0%_)\)"/>
    <numFmt numFmtId="176" formatCode="#,##0.00%_)_);\(_)#,##0.00%_)\)"/>
    <numFmt numFmtId="177" formatCode="#,##0%_)_);\(_)#,##0%_)\)"/>
    <numFmt numFmtId="178" formatCode="_(\ #,##0.00\ _)_);_(\(\ #,##0.00\ \)_);_(\ #,##0.00\ _)_)"/>
    <numFmt numFmtId="179" formatCode="0.00%;\(_)0.00%_)\)"/>
    <numFmt numFmtId="180" formatCode="#\ &quot;days&quot;"/>
    <numFmt numFmtId="181" formatCode="##.0&quot;x&quot;"/>
    <numFmt numFmtId="182" formatCode="#.0&quot; days&quot;"/>
    <numFmt numFmtId="183" formatCode="&quot;Depreciation from capex purchased in &quot;#"/>
    <numFmt numFmtId="185" formatCode="0.0"/>
  </numFmts>
  <fonts count="16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u/>
      <sz val="11"/>
      <color theme="1"/>
      <name val="Calibri"/>
      <family val="2"/>
    </font>
    <font>
      <sz val="11"/>
      <color rgb="FF0000FF"/>
      <name val="Calibri"/>
      <family val="2"/>
    </font>
    <font>
      <i/>
      <sz val="11"/>
      <color theme="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rgb="FF0000FF"/>
      <name val="Calibri"/>
      <family val="2"/>
    </font>
    <font>
      <b/>
      <u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sz val="10"/>
      <color theme="9"/>
      <name val="Calibri"/>
      <family val="2"/>
    </font>
    <font>
      <b/>
      <sz val="10"/>
      <color theme="1"/>
      <name val="Calibri"/>
      <family val="2"/>
    </font>
    <font>
      <b/>
      <i/>
      <sz val="10"/>
      <name val="Calibri"/>
      <family val="2"/>
    </font>
    <font>
      <b/>
      <i/>
      <sz val="10"/>
      <color theme="1"/>
      <name val="Calibri"/>
      <family val="2"/>
    </font>
    <font>
      <i/>
      <sz val="10"/>
      <color theme="1"/>
      <name val="Calibri"/>
      <family val="2"/>
    </font>
    <font>
      <u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3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0" xfId="0" applyAlignment="1">
      <alignment horizontal="center"/>
    </xf>
    <xf numFmtId="0" fontId="2" fillId="0" borderId="0" xfId="0" applyFont="1"/>
    <xf numFmtId="0" fontId="4" fillId="0" borderId="0" xfId="0" applyFont="1"/>
    <xf numFmtId="164" fontId="0" fillId="0" borderId="0" xfId="0" applyNumberFormat="1"/>
    <xf numFmtId="0" fontId="3" fillId="0" borderId="0" xfId="0" applyFont="1" applyAlignment="1">
      <alignment horizontal="center"/>
    </xf>
    <xf numFmtId="166" fontId="3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center"/>
    </xf>
    <xf numFmtId="167" fontId="3" fillId="0" borderId="0" xfId="0" applyNumberFormat="1" applyFont="1"/>
    <xf numFmtId="0" fontId="7" fillId="0" borderId="0" xfId="0" applyFont="1" applyAlignment="1">
      <alignment horizontal="center"/>
    </xf>
    <xf numFmtId="0" fontId="1" fillId="0" borderId="1" xfId="0" applyFont="1" applyBorder="1"/>
    <xf numFmtId="0" fontId="8" fillId="0" borderId="0" xfId="0" applyFont="1"/>
    <xf numFmtId="168" fontId="0" fillId="0" borderId="0" xfId="0" applyNumberFormat="1"/>
    <xf numFmtId="170" fontId="3" fillId="0" borderId="0" xfId="0" applyNumberFormat="1" applyFont="1"/>
    <xf numFmtId="170" fontId="6" fillId="0" borderId="0" xfId="0" applyNumberFormat="1" applyFont="1"/>
    <xf numFmtId="14" fontId="4" fillId="0" borderId="0" xfId="0" applyNumberFormat="1" applyFont="1"/>
    <xf numFmtId="167" fontId="6" fillId="0" borderId="0" xfId="0" applyNumberFormat="1" applyFont="1"/>
    <xf numFmtId="0" fontId="4" fillId="0" borderId="4" xfId="0" applyFont="1" applyBorder="1"/>
    <xf numFmtId="0" fontId="0" fillId="0" borderId="4" xfId="0" applyBorder="1"/>
    <xf numFmtId="14" fontId="0" fillId="0" borderId="4" xfId="0" applyNumberFormat="1" applyBorder="1"/>
    <xf numFmtId="164" fontId="1" fillId="0" borderId="0" xfId="0" applyNumberFormat="1" applyFont="1"/>
    <xf numFmtId="164" fontId="9" fillId="0" borderId="0" xfId="0" applyNumberFormat="1" applyFont="1"/>
    <xf numFmtId="165" fontId="9" fillId="0" borderId="0" xfId="0" applyNumberFormat="1" applyFont="1"/>
    <xf numFmtId="0" fontId="1" fillId="0" borderId="5" xfId="0" applyFont="1" applyBorder="1"/>
    <xf numFmtId="0" fontId="0" fillId="0" borderId="0" xfId="0" applyAlignment="1">
      <alignment horizontal="left" indent="1"/>
    </xf>
    <xf numFmtId="0" fontId="1" fillId="0" borderId="1" xfId="0" applyFont="1" applyBorder="1" applyAlignment="1">
      <alignment horizontal="left" indent="1"/>
    </xf>
    <xf numFmtId="0" fontId="1" fillId="0" borderId="0" xfId="0" applyFont="1" applyAlignment="1">
      <alignment horizontal="centerContinuous"/>
    </xf>
    <xf numFmtId="169" fontId="3" fillId="0" borderId="0" xfId="0" applyNumberFormat="1" applyFont="1"/>
    <xf numFmtId="169" fontId="5" fillId="0" borderId="0" xfId="0" applyNumberFormat="1" applyFont="1"/>
    <xf numFmtId="168" fontId="5" fillId="0" borderId="0" xfId="0" applyNumberFormat="1" applyFont="1"/>
    <xf numFmtId="170" fontId="6" fillId="0" borderId="1" xfId="0" applyNumberFormat="1" applyFont="1" applyBorder="1"/>
    <xf numFmtId="167" fontId="0" fillId="0" borderId="0" xfId="0" applyNumberFormat="1"/>
    <xf numFmtId="167" fontId="0" fillId="0" borderId="4" xfId="0" applyNumberFormat="1" applyBorder="1"/>
    <xf numFmtId="0" fontId="1" fillId="0" borderId="4" xfId="0" applyFont="1" applyBorder="1"/>
    <xf numFmtId="14" fontId="4" fillId="0" borderId="4" xfId="0" applyNumberFormat="1" applyFont="1" applyBorder="1"/>
    <xf numFmtId="165" fontId="1" fillId="0" borderId="0" xfId="0" applyNumberFormat="1" applyFont="1"/>
    <xf numFmtId="167" fontId="1" fillId="0" borderId="1" xfId="0" applyNumberFormat="1" applyFont="1" applyBorder="1"/>
    <xf numFmtId="167" fontId="1" fillId="0" borderId="0" xfId="0" applyNumberFormat="1" applyFont="1"/>
    <xf numFmtId="0" fontId="1" fillId="0" borderId="0" xfId="0" applyFont="1" applyAlignment="1">
      <alignment horizontal="left" indent="1"/>
    </xf>
    <xf numFmtId="168" fontId="3" fillId="0" borderId="0" xfId="0" applyNumberFormat="1" applyFont="1"/>
    <xf numFmtId="170" fontId="0" fillId="0" borderId="0" xfId="0" applyNumberFormat="1"/>
    <xf numFmtId="0" fontId="0" fillId="0" borderId="0" xfId="0" applyAlignment="1">
      <alignment horizontal="left" indent="2"/>
    </xf>
    <xf numFmtId="0" fontId="1" fillId="0" borderId="5" xfId="0" applyFont="1" applyBorder="1" applyAlignment="1">
      <alignment horizontal="left" indent="1"/>
    </xf>
    <xf numFmtId="170" fontId="6" fillId="0" borderId="5" xfId="0" applyNumberFormat="1" applyFont="1" applyBorder="1"/>
    <xf numFmtId="0" fontId="10" fillId="0" borderId="2" xfId="0" applyFont="1" applyBorder="1" applyAlignment="1">
      <alignment horizontal="left" indent="2"/>
    </xf>
    <xf numFmtId="0" fontId="2" fillId="0" borderId="0" xfId="0" applyFont="1" applyAlignment="1">
      <alignment horizontal="left" indent="1"/>
    </xf>
    <xf numFmtId="170" fontId="1" fillId="0" borderId="1" xfId="0" applyNumberFormat="1" applyFont="1" applyBorder="1"/>
    <xf numFmtId="0" fontId="14" fillId="0" borderId="0" xfId="0" applyFont="1"/>
    <xf numFmtId="0" fontId="3" fillId="3" borderId="6" xfId="0" applyFont="1" applyFill="1" applyBorder="1" applyAlignment="1">
      <alignment horizontal="center"/>
    </xf>
    <xf numFmtId="3" fontId="3" fillId="3" borderId="6" xfId="0" applyNumberFormat="1" applyFont="1" applyFill="1" applyBorder="1" applyAlignment="1">
      <alignment horizontal="center"/>
    </xf>
    <xf numFmtId="0" fontId="0" fillId="0" borderId="7" xfId="0" applyBorder="1"/>
    <xf numFmtId="0" fontId="1" fillId="0" borderId="7" xfId="0" applyFont="1" applyBorder="1" applyAlignment="1">
      <alignment horizontal="right"/>
    </xf>
    <xf numFmtId="168" fontId="3" fillId="0" borderId="1" xfId="0" applyNumberFormat="1" applyFont="1" applyBorder="1"/>
    <xf numFmtId="170" fontId="1" fillId="0" borderId="8" xfId="0" applyNumberFormat="1" applyFont="1" applyBorder="1"/>
    <xf numFmtId="170" fontId="0" fillId="0" borderId="10" xfId="0" applyNumberFormat="1" applyBorder="1"/>
    <xf numFmtId="170" fontId="0" fillId="0" borderId="11" xfId="0" applyNumberFormat="1" applyBorder="1"/>
    <xf numFmtId="170" fontId="0" fillId="0" borderId="12" xfId="0" applyNumberFormat="1" applyBorder="1"/>
    <xf numFmtId="0" fontId="11" fillId="0" borderId="13" xfId="0" applyFont="1" applyBorder="1" applyAlignment="1">
      <alignment horizontal="center"/>
    </xf>
    <xf numFmtId="0" fontId="0" fillId="0" borderId="14" xfId="0" applyBorder="1"/>
    <xf numFmtId="0" fontId="0" fillId="0" borderId="14" xfId="0" applyBorder="1" applyAlignment="1">
      <alignment horizontal="center"/>
    </xf>
    <xf numFmtId="172" fontId="0" fillId="0" borderId="0" xfId="0" applyNumberFormat="1"/>
    <xf numFmtId="172" fontId="3" fillId="0" borderId="0" xfId="0" applyNumberFormat="1" applyFont="1"/>
    <xf numFmtId="173" fontId="3" fillId="0" borderId="14" xfId="0" applyNumberFormat="1" applyFont="1" applyBorder="1" applyAlignment="1">
      <alignment horizontal="center"/>
    </xf>
    <xf numFmtId="173" fontId="3" fillId="0" borderId="15" xfId="0" applyNumberFormat="1" applyFont="1" applyBorder="1" applyAlignment="1">
      <alignment horizontal="center"/>
    </xf>
    <xf numFmtId="3" fontId="1" fillId="0" borderId="9" xfId="0" applyNumberFormat="1" applyFont="1" applyBorder="1" applyAlignment="1">
      <alignment horizontal="center"/>
    </xf>
    <xf numFmtId="170" fontId="12" fillId="0" borderId="0" xfId="0" applyNumberFormat="1" applyFont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4" xfId="0" applyFont="1" applyBorder="1" applyAlignment="1">
      <alignment horizontal="left"/>
    </xf>
    <xf numFmtId="170" fontId="5" fillId="0" borderId="0" xfId="0" applyNumberFormat="1" applyFont="1"/>
    <xf numFmtId="167" fontId="5" fillId="0" borderId="0" xfId="0" applyNumberFormat="1" applyFont="1"/>
    <xf numFmtId="171" fontId="3" fillId="0" borderId="0" xfId="0" applyNumberFormat="1" applyFont="1"/>
    <xf numFmtId="0" fontId="2" fillId="0" borderId="0" xfId="0" applyFont="1" applyAlignment="1">
      <alignment horizontal="center"/>
    </xf>
    <xf numFmtId="169" fontId="0" fillId="0" borderId="0" xfId="0" applyNumberFormat="1"/>
    <xf numFmtId="172" fontId="0" fillId="0" borderId="7" xfId="0" applyNumberFormat="1" applyBorder="1"/>
    <xf numFmtId="172" fontId="0" fillId="0" borderId="17" xfId="0" applyNumberFormat="1" applyBorder="1"/>
    <xf numFmtId="172" fontId="0" fillId="0" borderId="18" xfId="0" applyNumberFormat="1" applyBorder="1"/>
    <xf numFmtId="174" fontId="1" fillId="0" borderId="0" xfId="0" applyNumberFormat="1" applyFont="1"/>
    <xf numFmtId="174" fontId="0" fillId="0" borderId="0" xfId="0" applyNumberFormat="1"/>
    <xf numFmtId="170" fontId="6" fillId="2" borderId="0" xfId="0" applyNumberFormat="1" applyFont="1" applyFill="1"/>
    <xf numFmtId="170" fontId="5" fillId="2" borderId="0" xfId="0" applyNumberFormat="1" applyFont="1" applyFill="1"/>
    <xf numFmtId="176" fontId="0" fillId="0" borderId="0" xfId="0" applyNumberFormat="1"/>
    <xf numFmtId="0" fontId="5" fillId="0" borderId="0" xfId="0" applyFont="1"/>
    <xf numFmtId="177" fontId="3" fillId="0" borderId="0" xfId="0" applyNumberFormat="1" applyFont="1"/>
    <xf numFmtId="0" fontId="1" fillId="0" borderId="19" xfId="0" applyFont="1" applyBorder="1"/>
    <xf numFmtId="0" fontId="0" fillId="0" borderId="19" xfId="0" applyBorder="1"/>
    <xf numFmtId="44" fontId="0" fillId="0" borderId="19" xfId="0" applyNumberFormat="1" applyBorder="1"/>
    <xf numFmtId="175" fontId="5" fillId="0" borderId="0" xfId="0" applyNumberFormat="1" applyFont="1"/>
    <xf numFmtId="178" fontId="5" fillId="0" borderId="0" xfId="0" applyNumberFormat="1" applyFont="1"/>
    <xf numFmtId="178" fontId="3" fillId="0" borderId="0" xfId="0" applyNumberFormat="1" applyFont="1"/>
    <xf numFmtId="0" fontId="11" fillId="0" borderId="14" xfId="0" applyFont="1" applyBorder="1" applyAlignment="1">
      <alignment horizontal="center"/>
    </xf>
    <xf numFmtId="173" fontId="5" fillId="0" borderId="14" xfId="0" applyNumberFormat="1" applyFont="1" applyBorder="1" applyAlignment="1">
      <alignment horizontal="center"/>
    </xf>
    <xf numFmtId="173" fontId="5" fillId="0" borderId="21" xfId="0" applyNumberFormat="1" applyFont="1" applyBorder="1" applyAlignment="1">
      <alignment horizontal="center"/>
    </xf>
    <xf numFmtId="170" fontId="3" fillId="0" borderId="14" xfId="0" applyNumberFormat="1" applyFont="1" applyBorder="1" applyAlignment="1">
      <alignment horizontal="center"/>
    </xf>
    <xf numFmtId="170" fontId="0" fillId="0" borderId="1" xfId="0" applyNumberFormat="1" applyBorder="1"/>
    <xf numFmtId="170" fontId="0" fillId="0" borderId="16" xfId="0" applyNumberFormat="1" applyBorder="1"/>
    <xf numFmtId="170" fontId="5" fillId="0" borderId="20" xfId="0" applyNumberFormat="1" applyFont="1" applyBorder="1" applyAlignment="1">
      <alignment horizontal="center"/>
    </xf>
    <xf numFmtId="170" fontId="5" fillId="0" borderId="14" xfId="0" applyNumberFormat="1" applyFont="1" applyBorder="1" applyAlignment="1">
      <alignment horizontal="center"/>
    </xf>
    <xf numFmtId="178" fontId="0" fillId="0" borderId="0" xfId="0" applyNumberFormat="1"/>
    <xf numFmtId="178" fontId="0" fillId="0" borderId="7" xfId="0" applyNumberFormat="1" applyBorder="1"/>
    <xf numFmtId="164" fontId="1" fillId="0" borderId="0" xfId="0" applyNumberFormat="1" applyFont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0" xfId="0" applyFont="1" applyAlignment="1">
      <alignment horizontal="center"/>
    </xf>
    <xf numFmtId="179" fontId="0" fillId="2" borderId="0" xfId="0" applyNumberFormat="1" applyFill="1" applyAlignment="1">
      <alignment horizontal="center"/>
    </xf>
    <xf numFmtId="170" fontId="6" fillId="0" borderId="4" xfId="0" applyNumberFormat="1" applyFont="1" applyBorder="1"/>
    <xf numFmtId="0" fontId="7" fillId="3" borderId="6" xfId="0" applyFont="1" applyFill="1" applyBorder="1" applyAlignment="1">
      <alignment horizontal="center"/>
    </xf>
    <xf numFmtId="180" fontId="0" fillId="0" borderId="0" xfId="0" applyNumberFormat="1"/>
    <xf numFmtId="0" fontId="0" fillId="0" borderId="0" xfId="0" applyAlignment="1">
      <alignment horizontal="right"/>
    </xf>
    <xf numFmtId="175" fontId="0" fillId="0" borderId="0" xfId="0" applyNumberFormat="1"/>
    <xf numFmtId="181" fontId="0" fillId="0" borderId="0" xfId="0" applyNumberFormat="1" applyAlignment="1">
      <alignment horizontal="left" indent="5"/>
    </xf>
    <xf numFmtId="181" fontId="3" fillId="0" borderId="0" xfId="0" applyNumberFormat="1" applyFont="1" applyAlignment="1">
      <alignment horizontal="left" indent="5"/>
    </xf>
    <xf numFmtId="0" fontId="0" fillId="0" borderId="4" xfId="0" applyBorder="1" applyAlignment="1">
      <alignment horizontal="centerContinuous"/>
    </xf>
    <xf numFmtId="170" fontId="5" fillId="0" borderId="4" xfId="0" applyNumberFormat="1" applyFont="1" applyBorder="1" applyAlignment="1">
      <alignment horizontal="centerContinuous"/>
    </xf>
    <xf numFmtId="170" fontId="6" fillId="0" borderId="4" xfId="0" applyNumberFormat="1" applyFont="1" applyBorder="1" applyAlignment="1">
      <alignment horizontal="centerContinuous"/>
    </xf>
    <xf numFmtId="170" fontId="6" fillId="0" borderId="0" xfId="0" applyNumberFormat="1" applyFont="1" applyFill="1"/>
    <xf numFmtId="182" fontId="5" fillId="0" borderId="0" xfId="0" applyNumberFormat="1" applyFont="1" applyFill="1"/>
    <xf numFmtId="182" fontId="6" fillId="0" borderId="0" xfId="0" applyNumberFormat="1" applyFont="1" applyFill="1"/>
    <xf numFmtId="170" fontId="5" fillId="0" borderId="0" xfId="0" applyNumberFormat="1" applyFont="1" applyFill="1"/>
    <xf numFmtId="176" fontId="0" fillId="0" borderId="0" xfId="0" applyNumberFormat="1" applyFill="1"/>
    <xf numFmtId="180" fontId="3" fillId="0" borderId="0" xfId="0" applyNumberFormat="1" applyFont="1" applyFill="1"/>
    <xf numFmtId="183" fontId="0" fillId="0" borderId="0" xfId="0" applyNumberFormat="1" applyAlignment="1">
      <alignment horizontal="left"/>
    </xf>
    <xf numFmtId="183" fontId="1" fillId="0" borderId="0" xfId="0" applyNumberFormat="1" applyFont="1" applyAlignment="1">
      <alignment horizontal="left"/>
    </xf>
    <xf numFmtId="0" fontId="5" fillId="0" borderId="0" xfId="0" applyNumberFormat="1" applyFont="1"/>
    <xf numFmtId="170" fontId="3" fillId="2" borderId="0" xfId="0" applyNumberFormat="1" applyFont="1" applyFill="1"/>
    <xf numFmtId="170" fontId="6" fillId="0" borderId="0" xfId="0" applyNumberFormat="1" applyFont="1" applyAlignment="1">
      <alignment horizontal="center"/>
    </xf>
    <xf numFmtId="168" fontId="15" fillId="0" borderId="0" xfId="0" applyNumberFormat="1" applyFont="1" applyAlignment="1">
      <alignment horizontal="center"/>
    </xf>
    <xf numFmtId="170" fontId="7" fillId="2" borderId="0" xfId="0" applyNumberFormat="1" applyFont="1" applyFill="1" applyAlignment="1">
      <alignment horizontal="center"/>
    </xf>
    <xf numFmtId="185" fontId="7" fillId="3" borderId="6" xfId="0" applyNumberFormat="1" applyFont="1" applyFill="1" applyBorder="1" applyAlignment="1">
      <alignment horizontal="center"/>
    </xf>
  </cellXfs>
  <cellStyles count="1">
    <cellStyle name="Normal" xfId="0" builtinId="0"/>
  </cellStyles>
  <dxfs count="4">
    <dxf>
      <font>
        <color theme="9"/>
      </font>
    </dxf>
    <dxf>
      <font>
        <color rgb="FFFF0000"/>
      </font>
    </dxf>
    <dxf>
      <font>
        <color rgb="FFFF0000"/>
      </font>
    </dxf>
    <dxf>
      <font>
        <color theme="9"/>
      </font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4C7E0-1A4C-4FDA-80A6-14BCF2E30420}">
  <sheetPr codeName="Sheet1"/>
  <dimension ref="A1:O328"/>
  <sheetViews>
    <sheetView tabSelected="1" zoomScale="60" zoomScaleNormal="60" workbookViewId="0">
      <selection activeCell="F5" sqref="F5"/>
    </sheetView>
  </sheetViews>
  <sheetFormatPr defaultColWidth="2.578125" defaultRowHeight="14.4" x14ac:dyDescent="0.55000000000000004"/>
  <cols>
    <col min="1" max="1" width="2.578125" style="12" customWidth="1"/>
    <col min="2" max="2" width="2.578125" style="3"/>
    <col min="3" max="3" width="43.41796875" bestFit="1" customWidth="1"/>
    <col min="4" max="5" width="11.578125" customWidth="1"/>
    <col min="6" max="6" width="12.15625" bestFit="1" customWidth="1"/>
    <col min="7" max="11" width="11.578125" customWidth="1"/>
    <col min="12" max="12" width="2.578125" customWidth="1"/>
    <col min="13" max="13" width="11.578125" customWidth="1"/>
    <col min="14" max="14" width="2.578125" customWidth="1"/>
    <col min="15" max="15" width="5.7890625" bestFit="1" customWidth="1"/>
  </cols>
  <sheetData>
    <row r="1" spans="1:15" ht="14.7" thickBot="1" x14ac:dyDescent="0.6">
      <c r="C1" s="21"/>
      <c r="D1" s="21"/>
      <c r="E1" s="21"/>
      <c r="F1" s="21"/>
      <c r="G1" s="21"/>
      <c r="H1" s="21"/>
      <c r="I1" s="21"/>
      <c r="J1" s="21"/>
      <c r="K1" s="21"/>
    </row>
    <row r="2" spans="1:15" ht="14.7" thickBot="1" x14ac:dyDescent="0.6">
      <c r="A2" s="12" t="s">
        <v>31</v>
      </c>
      <c r="C2" s="36" t="str">
        <f>"Financial Statement Model for "&amp;D5</f>
        <v>Financial Statement Model for Apple</v>
      </c>
      <c r="D2" s="21"/>
      <c r="E2" s="21"/>
      <c r="F2" s="21"/>
      <c r="G2" s="21"/>
      <c r="H2" s="21"/>
      <c r="I2" s="21"/>
      <c r="J2" s="21"/>
      <c r="K2" s="21"/>
    </row>
    <row r="5" spans="1:15" x14ac:dyDescent="0.55000000000000004">
      <c r="C5" t="s">
        <v>0</v>
      </c>
      <c r="D5" s="7" t="s">
        <v>5</v>
      </c>
    </row>
    <row r="6" spans="1:15" x14ac:dyDescent="0.55000000000000004">
      <c r="C6" t="s">
        <v>1</v>
      </c>
      <c r="D6" s="7" t="s">
        <v>6</v>
      </c>
    </row>
    <row r="7" spans="1:15" x14ac:dyDescent="0.55000000000000004">
      <c r="C7" t="s">
        <v>170</v>
      </c>
      <c r="D7" s="51">
        <v>1</v>
      </c>
    </row>
    <row r="8" spans="1:15" x14ac:dyDescent="0.55000000000000004">
      <c r="C8" t="s">
        <v>2</v>
      </c>
      <c r="D8" s="8">
        <v>256.01</v>
      </c>
    </row>
    <row r="9" spans="1:15" x14ac:dyDescent="0.55000000000000004">
      <c r="C9" t="s">
        <v>3</v>
      </c>
      <c r="D9" s="9">
        <v>45937.604398148149</v>
      </c>
    </row>
    <row r="10" spans="1:15" x14ac:dyDescent="0.55000000000000004">
      <c r="C10" t="s">
        <v>4</v>
      </c>
      <c r="D10" s="9">
        <v>43736</v>
      </c>
    </row>
    <row r="11" spans="1:15" x14ac:dyDescent="0.55000000000000004">
      <c r="C11" t="s">
        <v>203</v>
      </c>
      <c r="D11" s="10">
        <f>4443265000/1000</f>
        <v>4443265</v>
      </c>
    </row>
    <row r="12" spans="1:15" x14ac:dyDescent="0.55000000000000004">
      <c r="C12" t="s">
        <v>171</v>
      </c>
      <c r="D12" s="52" t="s">
        <v>223</v>
      </c>
    </row>
    <row r="14" spans="1:15" ht="14.7" thickBot="1" x14ac:dyDescent="0.6">
      <c r="A14" s="12" t="s">
        <v>31</v>
      </c>
      <c r="C14" s="36" t="s">
        <v>7</v>
      </c>
      <c r="D14" s="21"/>
      <c r="E14" s="21"/>
      <c r="F14" s="21"/>
      <c r="G14" s="21"/>
      <c r="H14" s="21"/>
      <c r="I14" s="21"/>
      <c r="J14" s="21"/>
      <c r="K14" s="21"/>
      <c r="M14" s="21"/>
    </row>
    <row r="15" spans="1:15" x14ac:dyDescent="0.55000000000000004">
      <c r="C15" s="5" t="s">
        <v>8</v>
      </c>
      <c r="D15" s="24">
        <f>E15-1</f>
        <v>2017</v>
      </c>
      <c r="E15" s="24">
        <f>F15-1</f>
        <v>2018</v>
      </c>
      <c r="F15" s="24">
        <f>YEAR($D$10)</f>
        <v>2019</v>
      </c>
      <c r="G15" s="25">
        <f>F15+1</f>
        <v>2020</v>
      </c>
      <c r="H15" s="25">
        <f>G15+1</f>
        <v>2021</v>
      </c>
      <c r="I15" s="25">
        <f>H15+1</f>
        <v>2022</v>
      </c>
      <c r="J15" s="25">
        <f>I15+1</f>
        <v>2023</v>
      </c>
      <c r="K15" s="25">
        <f>J15+1</f>
        <v>2024</v>
      </c>
      <c r="L15" s="6"/>
      <c r="M15" s="105" t="s">
        <v>224</v>
      </c>
      <c r="N15" s="6"/>
      <c r="O15" s="6"/>
    </row>
    <row r="16" spans="1:15" ht="14.7" thickBot="1" x14ac:dyDescent="0.6">
      <c r="C16" s="20" t="s">
        <v>9</v>
      </c>
      <c r="D16" s="37">
        <f>EOMONTH(E16,-12)</f>
        <v>43008</v>
      </c>
      <c r="E16" s="37">
        <f>EOMONTH(F16,-12)</f>
        <v>43373</v>
      </c>
      <c r="F16" s="37">
        <f>$D$10</f>
        <v>43736</v>
      </c>
      <c r="G16" s="37">
        <f>EOMONTH(F16,12)</f>
        <v>44104</v>
      </c>
      <c r="H16" s="37">
        <f>EOMONTH(G16,12)</f>
        <v>44469</v>
      </c>
      <c r="I16" s="37">
        <f>EOMONTH(H16,12)</f>
        <v>44834</v>
      </c>
      <c r="J16" s="37">
        <f>EOMONTH(I16,12)</f>
        <v>45199</v>
      </c>
      <c r="K16" s="37">
        <f>EOMONTH(J16,12)</f>
        <v>45565</v>
      </c>
      <c r="M16" s="106" t="s">
        <v>225</v>
      </c>
      <c r="O16" s="1" t="s">
        <v>62</v>
      </c>
    </row>
    <row r="17" spans="3:15" x14ac:dyDescent="0.55000000000000004">
      <c r="C17" s="5"/>
      <c r="D17" s="18"/>
      <c r="E17" s="18"/>
      <c r="F17" s="18"/>
      <c r="G17" s="18"/>
      <c r="H17" s="18"/>
      <c r="I17" s="18"/>
      <c r="J17" s="18"/>
      <c r="K17" s="18"/>
      <c r="M17" s="107"/>
      <c r="O17" s="1"/>
    </row>
    <row r="18" spans="3:15" x14ac:dyDescent="0.55000000000000004">
      <c r="C18" t="s">
        <v>64</v>
      </c>
      <c r="D18" s="16">
        <v>229234</v>
      </c>
      <c r="E18" s="16">
        <v>265595</v>
      </c>
      <c r="F18" s="16">
        <v>260174</v>
      </c>
      <c r="G18" s="74">
        <f>F18*(1+G37)</f>
        <v>266218.00000000006</v>
      </c>
      <c r="H18" s="74">
        <f>G18*(1+H37)</f>
        <v>279639.2527242247</v>
      </c>
      <c r="I18" s="74">
        <f>H18*(1+I37)</f>
        <v>293560.50544844934</v>
      </c>
      <c r="J18" s="74">
        <f>I18*(1+J37)</f>
        <v>307981.75817267399</v>
      </c>
      <c r="K18" s="74">
        <f>J18*(1+K37)</f>
        <v>322903.01089689863</v>
      </c>
      <c r="M18" s="108">
        <f>(K18/F18)^(1/COUNT(G18:K18))-1</f>
        <v>4.4146988219845085E-2</v>
      </c>
      <c r="O18" t="s">
        <v>63</v>
      </c>
    </row>
    <row r="19" spans="3:15" x14ac:dyDescent="0.55000000000000004">
      <c r="C19" t="s">
        <v>65</v>
      </c>
      <c r="D19" s="16">
        <v>-141048</v>
      </c>
      <c r="E19" s="16">
        <v>-163756</v>
      </c>
      <c r="F19" s="16">
        <v>-161782</v>
      </c>
      <c r="G19" s="74">
        <f>-(G18-G20)</f>
        <v>-164788.94200000004</v>
      </c>
      <c r="H19" s="74">
        <f>-(H18-H20)</f>
        <v>-172817.05818357086</v>
      </c>
      <c r="I19" s="74">
        <f>-(I18-I20)</f>
        <v>-181420.3923671417</v>
      </c>
      <c r="J19" s="74">
        <f>-(J18-J20)</f>
        <v>-190332.72655071254</v>
      </c>
      <c r="K19" s="74">
        <f>-(K18-K20)</f>
        <v>-199554.06073428335</v>
      </c>
      <c r="O19" t="s">
        <v>66</v>
      </c>
    </row>
    <row r="20" spans="3:15" x14ac:dyDescent="0.55000000000000004">
      <c r="C20" s="1" t="s">
        <v>10</v>
      </c>
      <c r="D20" s="17">
        <f>D18+D19</f>
        <v>88186</v>
      </c>
      <c r="E20" s="17">
        <f>E18+E19</f>
        <v>101839</v>
      </c>
      <c r="F20" s="17">
        <f>F18+F19</f>
        <v>98392</v>
      </c>
      <c r="G20" s="17">
        <f>G18*G38</f>
        <v>101429.05800000002</v>
      </c>
      <c r="H20" s="17">
        <f>H18*H38</f>
        <v>106822.19454065384</v>
      </c>
      <c r="I20" s="17">
        <f>I18*I38</f>
        <v>112140.11308130765</v>
      </c>
      <c r="J20" s="17">
        <f>J18*J38</f>
        <v>117649.03162196146</v>
      </c>
      <c r="K20" s="17">
        <f>K18*K38</f>
        <v>123348.95016261528</v>
      </c>
      <c r="L20" s="1"/>
      <c r="M20" s="1"/>
      <c r="N20" s="1"/>
      <c r="O20" s="1" t="s">
        <v>67</v>
      </c>
    </row>
    <row r="21" spans="3:15" x14ac:dyDescent="0.55000000000000004">
      <c r="C21" t="s">
        <v>11</v>
      </c>
      <c r="D21" s="16">
        <v>-11581</v>
      </c>
      <c r="E21" s="16">
        <v>-14236</v>
      </c>
      <c r="F21" s="16">
        <v>-16217</v>
      </c>
      <c r="G21" s="74">
        <f>-G18*G39</f>
        <v>-16771.734000000004</v>
      </c>
      <c r="H21" s="74">
        <f>-H18*H39</f>
        <v>-17617.272921626158</v>
      </c>
      <c r="I21" s="74">
        <f>-I18*I39</f>
        <v>-18494.311843252308</v>
      </c>
      <c r="J21" s="74">
        <f>-J18*J39</f>
        <v>-19402.850764878462</v>
      </c>
      <c r="K21" s="74">
        <f>-K18*K39</f>
        <v>-20342.889686504615</v>
      </c>
      <c r="O21" t="s">
        <v>68</v>
      </c>
    </row>
    <row r="22" spans="3:15" x14ac:dyDescent="0.55000000000000004">
      <c r="C22" t="s">
        <v>12</v>
      </c>
      <c r="D22" s="16">
        <v>-15261</v>
      </c>
      <c r="E22" s="16">
        <v>-16705</v>
      </c>
      <c r="F22" s="16">
        <v>-18245</v>
      </c>
      <c r="G22" s="74">
        <f>-G18*G40</f>
        <v>-18369.042000000005</v>
      </c>
      <c r="H22" s="74">
        <f>-H18*H40</f>
        <v>-19295.108437971507</v>
      </c>
      <c r="I22" s="74">
        <f>-I18*I40</f>
        <v>-20255.674875943005</v>
      </c>
      <c r="J22" s="74">
        <f>-J18*J40</f>
        <v>-21250.741313914506</v>
      </c>
      <c r="K22" s="74">
        <f>-K18*K40</f>
        <v>-22280.307751886008</v>
      </c>
      <c r="O22" t="s">
        <v>69</v>
      </c>
    </row>
    <row r="23" spans="3:15" x14ac:dyDescent="0.55000000000000004">
      <c r="C23" s="1" t="s">
        <v>13</v>
      </c>
      <c r="D23" s="17">
        <f t="shared" ref="D23:K23" si="0">SUM(D20:D22)</f>
        <v>61344</v>
      </c>
      <c r="E23" s="17">
        <f t="shared" si="0"/>
        <v>70898</v>
      </c>
      <c r="F23" s="17">
        <f t="shared" si="0"/>
        <v>63930</v>
      </c>
      <c r="G23" s="17">
        <f t="shared" si="0"/>
        <v>66288.282000000021</v>
      </c>
      <c r="H23" s="17">
        <f t="shared" si="0"/>
        <v>69909.813181056175</v>
      </c>
      <c r="I23" s="17">
        <f t="shared" si="0"/>
        <v>73390.126362112336</v>
      </c>
      <c r="J23" s="17">
        <f t="shared" si="0"/>
        <v>76995.439543168497</v>
      </c>
      <c r="K23" s="17">
        <f t="shared" si="0"/>
        <v>80725.752724224658</v>
      </c>
      <c r="L23" s="1"/>
      <c r="M23" s="108">
        <f>(K23/F23)^(1/COUNT(G23:K23))-1</f>
        <v>4.775919242383897E-2</v>
      </c>
      <c r="N23" s="1"/>
      <c r="O23" s="1" t="s">
        <v>70</v>
      </c>
    </row>
    <row r="24" spans="3:15" x14ac:dyDescent="0.55000000000000004">
      <c r="C24" t="s">
        <v>15</v>
      </c>
      <c r="D24" s="16">
        <v>5201</v>
      </c>
      <c r="E24" s="16">
        <v>5686</v>
      </c>
      <c r="F24" s="16">
        <v>4961</v>
      </c>
      <c r="G24" s="43">
        <f ca="1">G227</f>
        <v>4274.6819488059309</v>
      </c>
      <c r="H24" s="43">
        <f ca="1">H227</f>
        <v>3849.0405513380174</v>
      </c>
      <c r="I24" s="43">
        <f ca="1">I227</f>
        <v>3451.9717876726686</v>
      </c>
      <c r="J24" s="43">
        <f ca="1">J227</f>
        <v>3132.3710401297212</v>
      </c>
      <c r="K24" s="43">
        <f ca="1">K227</f>
        <v>2900.8353471042542</v>
      </c>
      <c r="O24" t="s">
        <v>71</v>
      </c>
    </row>
    <row r="25" spans="3:15" x14ac:dyDescent="0.55000000000000004">
      <c r="C25" t="s">
        <v>14</v>
      </c>
      <c r="D25" s="16">
        <v>-2323</v>
      </c>
      <c r="E25" s="16">
        <v>-3240</v>
      </c>
      <c r="F25" s="16">
        <v>-3576</v>
      </c>
      <c r="G25" s="43">
        <f ca="1">-G213</f>
        <v>-3568.9466179543074</v>
      </c>
      <c r="H25" s="43">
        <f ca="1">-H213</f>
        <v>-3636.3706179543074</v>
      </c>
      <c r="I25" s="43">
        <f ca="1">-I213</f>
        <v>-3636.3706179543074</v>
      </c>
      <c r="J25" s="43">
        <f ca="1">-J213</f>
        <v>-3636.3706179543074</v>
      </c>
      <c r="K25" s="43">
        <f ca="1">-K213</f>
        <v>-3636.3706179543074</v>
      </c>
      <c r="O25" t="s">
        <v>72</v>
      </c>
    </row>
    <row r="26" spans="3:15" x14ac:dyDescent="0.55000000000000004">
      <c r="C26" t="s">
        <v>55</v>
      </c>
      <c r="D26" s="16">
        <v>-133</v>
      </c>
      <c r="E26" s="16">
        <v>-441</v>
      </c>
      <c r="F26" s="16">
        <v>422</v>
      </c>
      <c r="G26" s="74">
        <f>F26</f>
        <v>422</v>
      </c>
      <c r="H26" s="74">
        <f>G26</f>
        <v>422</v>
      </c>
      <c r="I26" s="74">
        <f>H26</f>
        <v>422</v>
      </c>
      <c r="J26" s="74">
        <f>I26</f>
        <v>422</v>
      </c>
      <c r="K26" s="74">
        <f>J26</f>
        <v>422</v>
      </c>
      <c r="O26" t="s">
        <v>73</v>
      </c>
    </row>
    <row r="27" spans="3:15" x14ac:dyDescent="0.55000000000000004">
      <c r="C27" s="1" t="s">
        <v>16</v>
      </c>
      <c r="D27" s="17">
        <f t="shared" ref="D27:K27" si="1">SUM(D23:D26)</f>
        <v>64089</v>
      </c>
      <c r="E27" s="17">
        <f t="shared" si="1"/>
        <v>72903</v>
      </c>
      <c r="F27" s="17">
        <f t="shared" si="1"/>
        <v>65737</v>
      </c>
      <c r="G27" s="17">
        <f t="shared" ca="1" si="1"/>
        <v>67416.017330851639</v>
      </c>
      <c r="H27" s="17">
        <f t="shared" ca="1" si="1"/>
        <v>70544.483114439892</v>
      </c>
      <c r="I27" s="17">
        <f t="shared" ca="1" si="1"/>
        <v>73627.727531830693</v>
      </c>
      <c r="J27" s="17">
        <f t="shared" ca="1" si="1"/>
        <v>76913.439965343903</v>
      </c>
      <c r="K27" s="17">
        <f t="shared" ca="1" si="1"/>
        <v>80412.2174533746</v>
      </c>
      <c r="L27" s="1"/>
      <c r="M27" s="108">
        <f ca="1">(K27/F27)^(1/COUNT(G27:K27))-1</f>
        <v>4.1123936756029211E-2</v>
      </c>
      <c r="N27" s="1"/>
      <c r="O27" s="1" t="s">
        <v>74</v>
      </c>
    </row>
    <row r="28" spans="3:15" x14ac:dyDescent="0.55000000000000004">
      <c r="C28" t="s">
        <v>17</v>
      </c>
      <c r="D28" s="16">
        <v>-15738</v>
      </c>
      <c r="E28" s="16">
        <v>-13372</v>
      </c>
      <c r="F28" s="16">
        <v>-10481</v>
      </c>
      <c r="G28" s="74">
        <f ca="1">-G27*G41</f>
        <v>-11460.722946244779</v>
      </c>
      <c r="H28" s="74">
        <f ca="1">-H27*H41</f>
        <v>-11922.017646340342</v>
      </c>
      <c r="I28" s="74">
        <f ca="1">-I27*I41</f>
        <v>-12443.085952879388</v>
      </c>
      <c r="J28" s="74">
        <f ca="1">-J27*J41</f>
        <v>-12998.371354143121</v>
      </c>
      <c r="K28" s="74">
        <f ca="1">-K27*K41</f>
        <v>-13589.664749620308</v>
      </c>
      <c r="O28" t="s">
        <v>75</v>
      </c>
    </row>
    <row r="29" spans="3:15" x14ac:dyDescent="0.55000000000000004">
      <c r="C29" s="1" t="s">
        <v>18</v>
      </c>
      <c r="D29" s="17">
        <f t="shared" ref="D29:K29" si="2">SUM(D27:D28)</f>
        <v>48351</v>
      </c>
      <c r="E29" s="17">
        <f t="shared" si="2"/>
        <v>59531</v>
      </c>
      <c r="F29" s="17">
        <f t="shared" si="2"/>
        <v>55256</v>
      </c>
      <c r="G29" s="17">
        <f t="shared" ca="1" si="2"/>
        <v>55955.294384606859</v>
      </c>
      <c r="H29" s="17">
        <f t="shared" ca="1" si="2"/>
        <v>58622.465468099552</v>
      </c>
      <c r="I29" s="17">
        <f t="shared" ca="1" si="2"/>
        <v>61184.641578951305</v>
      </c>
      <c r="J29" s="17">
        <f t="shared" ca="1" si="2"/>
        <v>63915.068611200782</v>
      </c>
      <c r="K29" s="17">
        <f t="shared" ca="1" si="2"/>
        <v>66822.552703754292</v>
      </c>
      <c r="L29" s="1"/>
      <c r="M29" s="108">
        <f ca="1">(K29/F29)^(1/COUNT(G29:K29))-1</f>
        <v>3.8744467874209709E-2</v>
      </c>
      <c r="N29" s="1"/>
      <c r="O29" s="1" t="s">
        <v>76</v>
      </c>
    </row>
    <row r="30" spans="3:15" x14ac:dyDescent="0.55000000000000004">
      <c r="D30" s="11"/>
      <c r="E30" s="11"/>
      <c r="F30" s="11"/>
    </row>
    <row r="31" spans="3:15" x14ac:dyDescent="0.55000000000000004">
      <c r="C31" t="s">
        <v>77</v>
      </c>
      <c r="D31" s="11">
        <v>10157</v>
      </c>
      <c r="E31" s="11">
        <v>10903</v>
      </c>
      <c r="F31" s="11">
        <v>12547</v>
      </c>
      <c r="G31" s="43">
        <f>G82</f>
        <v>9023.8257100467927</v>
      </c>
      <c r="H31" s="43">
        <f>H82</f>
        <v>9405.7244816544517</v>
      </c>
      <c r="I31" s="43">
        <f>I82</f>
        <v>10361.604403658206</v>
      </c>
      <c r="J31" s="43">
        <f>J82</f>
        <v>11759.764958198808</v>
      </c>
      <c r="K31" s="43">
        <f>K82</f>
        <v>13507.142861902648</v>
      </c>
      <c r="O31" t="s">
        <v>123</v>
      </c>
    </row>
    <row r="32" spans="3:15" x14ac:dyDescent="0.55000000000000004">
      <c r="C32" s="1" t="s">
        <v>19</v>
      </c>
      <c r="D32" s="19">
        <f>D23+D31</f>
        <v>71501</v>
      </c>
      <c r="E32" s="19">
        <f t="shared" ref="E32:K32" si="3">E23+E31</f>
        <v>81801</v>
      </c>
      <c r="F32" s="19">
        <f t="shared" si="3"/>
        <v>76477</v>
      </c>
      <c r="G32" s="19">
        <f>G23+G31</f>
        <v>75312.10771004681</v>
      </c>
      <c r="H32" s="19">
        <f t="shared" si="3"/>
        <v>79315.537662710631</v>
      </c>
      <c r="I32" s="19">
        <f t="shared" si="3"/>
        <v>83751.730765770539</v>
      </c>
      <c r="J32" s="19">
        <f t="shared" si="3"/>
        <v>88755.204501367305</v>
      </c>
      <c r="K32" s="19">
        <f t="shared" si="3"/>
        <v>94232.895586127299</v>
      </c>
      <c r="O32" s="1" t="s">
        <v>22</v>
      </c>
    </row>
    <row r="33" spans="1:15" x14ac:dyDescent="0.55000000000000004">
      <c r="C33" t="s">
        <v>78</v>
      </c>
      <c r="D33" s="11">
        <v>4840</v>
      </c>
      <c r="E33" s="11">
        <v>5340</v>
      </c>
      <c r="F33" s="11">
        <v>6068</v>
      </c>
      <c r="G33" s="75">
        <f>F33*(1+G37)</f>
        <v>6208.9633245443447</v>
      </c>
      <c r="H33" s="75">
        <f>G33*(1+H37)</f>
        <v>6521.9852311552859</v>
      </c>
      <c r="I33" s="75">
        <f>H33*(1+I37)</f>
        <v>6846.668564349975</v>
      </c>
      <c r="J33" s="75">
        <f>I33*(1+J37)</f>
        <v>7183.013324128412</v>
      </c>
      <c r="K33" s="75">
        <f>J33*(1+K37)</f>
        <v>7531.019510490597</v>
      </c>
      <c r="O33" t="s">
        <v>79</v>
      </c>
    </row>
    <row r="34" spans="1:15" x14ac:dyDescent="0.55000000000000004">
      <c r="C34" s="1" t="s">
        <v>20</v>
      </c>
      <c r="D34" s="19">
        <f t="shared" ref="D34:K34" si="4">SUM(D32:D33)</f>
        <v>76341</v>
      </c>
      <c r="E34" s="19">
        <f t="shared" si="4"/>
        <v>87141</v>
      </c>
      <c r="F34" s="19">
        <f t="shared" si="4"/>
        <v>82545</v>
      </c>
      <c r="G34" s="19">
        <f t="shared" si="4"/>
        <v>81521.07103459115</v>
      </c>
      <c r="H34" s="19">
        <f t="shared" si="4"/>
        <v>85837.522893865913</v>
      </c>
      <c r="I34" s="19">
        <f t="shared" si="4"/>
        <v>90598.399330120519</v>
      </c>
      <c r="J34" s="19">
        <f t="shared" si="4"/>
        <v>95938.217825495711</v>
      </c>
      <c r="K34" s="19">
        <f t="shared" si="4"/>
        <v>101763.9150966179</v>
      </c>
      <c r="O34" s="1" t="s">
        <v>23</v>
      </c>
    </row>
    <row r="36" spans="1:15" x14ac:dyDescent="0.55000000000000004">
      <c r="A36" s="12" t="s">
        <v>31</v>
      </c>
      <c r="C36" s="4" t="s">
        <v>24</v>
      </c>
    </row>
    <row r="37" spans="1:15" x14ac:dyDescent="0.55000000000000004">
      <c r="C37" t="s">
        <v>25</v>
      </c>
      <c r="E37" s="15">
        <f>(E18/D18)-1</f>
        <v>0.15861957650261305</v>
      </c>
      <c r="F37" s="15">
        <f>(F18/E18)-1</f>
        <v>-2.04107758052674E-2</v>
      </c>
      <c r="G37" s="32">
        <f>G300</f>
        <v>2.3230607209021814E-2</v>
      </c>
      <c r="H37" s="32">
        <f t="shared" ref="H37:K37" si="5">H300</f>
        <v>5.0414520145988018E-2</v>
      </c>
      <c r="I37" s="32">
        <f t="shared" si="5"/>
        <v>4.9782899176724404E-2</v>
      </c>
      <c r="J37" s="32">
        <f t="shared" si="5"/>
        <v>4.9125316439261546E-2</v>
      </c>
      <c r="K37" s="32">
        <f t="shared" si="5"/>
        <v>4.8448495173077255E-2</v>
      </c>
      <c r="O37" t="s">
        <v>204</v>
      </c>
    </row>
    <row r="38" spans="1:15" x14ac:dyDescent="0.55000000000000004">
      <c r="C38" t="s">
        <v>26</v>
      </c>
      <c r="D38" s="15">
        <f>D20/D18</f>
        <v>0.38469860491899105</v>
      </c>
      <c r="E38" s="15">
        <f>E20/E18</f>
        <v>0.38343718820007905</v>
      </c>
      <c r="F38" s="15">
        <f>F20/F18</f>
        <v>0.37817768109034722</v>
      </c>
      <c r="G38" s="32">
        <f t="shared" ref="G38:K40" si="6">G247</f>
        <v>0.38100000000000001</v>
      </c>
      <c r="H38" s="32">
        <f t="shared" si="6"/>
        <v>0.38200000000000001</v>
      </c>
      <c r="I38" s="32">
        <f t="shared" si="6"/>
        <v>0.38200000000000001</v>
      </c>
      <c r="J38" s="32">
        <f t="shared" si="6"/>
        <v>0.38200000000000001</v>
      </c>
      <c r="K38" s="32">
        <f t="shared" si="6"/>
        <v>0.38200000000000001</v>
      </c>
      <c r="O38" t="s">
        <v>204</v>
      </c>
    </row>
    <row r="39" spans="1:15" x14ac:dyDescent="0.55000000000000004">
      <c r="C39" t="s">
        <v>27</v>
      </c>
      <c r="D39" s="15">
        <f>ABS(D21/D18)</f>
        <v>5.0520428906706681E-2</v>
      </c>
      <c r="E39" s="15">
        <f>ABS(E21/E18)</f>
        <v>5.3600406634161032E-2</v>
      </c>
      <c r="F39" s="15">
        <f>ABS(F21/F18)</f>
        <v>6.233136285716482E-2</v>
      </c>
      <c r="G39" s="32">
        <f t="shared" si="6"/>
        <v>6.3E-2</v>
      </c>
      <c r="H39" s="32">
        <f t="shared" si="6"/>
        <v>6.3E-2</v>
      </c>
      <c r="I39" s="32">
        <f t="shared" si="6"/>
        <v>6.3E-2</v>
      </c>
      <c r="J39" s="32">
        <f t="shared" si="6"/>
        <v>6.3E-2</v>
      </c>
      <c r="K39" s="32">
        <f t="shared" si="6"/>
        <v>6.3E-2</v>
      </c>
      <c r="O39" t="s">
        <v>204</v>
      </c>
    </row>
    <row r="40" spans="1:15" x14ac:dyDescent="0.55000000000000004">
      <c r="C40" t="s">
        <v>28</v>
      </c>
      <c r="D40" s="15">
        <f>ABS(D22/D18)</f>
        <v>6.6573893924984945E-2</v>
      </c>
      <c r="E40" s="15">
        <f>ABS(E22/E18)</f>
        <v>6.2896515371147807E-2</v>
      </c>
      <c r="F40" s="15">
        <f>ABS(F22/F18)</f>
        <v>7.0126146348213125E-2</v>
      </c>
      <c r="G40" s="32">
        <f t="shared" si="6"/>
        <v>6.9000000000000006E-2</v>
      </c>
      <c r="H40" s="32">
        <f t="shared" si="6"/>
        <v>6.9000000000000006E-2</v>
      </c>
      <c r="I40" s="32">
        <f t="shared" si="6"/>
        <v>6.9000000000000006E-2</v>
      </c>
      <c r="J40" s="32">
        <f t="shared" si="6"/>
        <v>6.9000000000000006E-2</v>
      </c>
      <c r="K40" s="32">
        <f t="shared" si="6"/>
        <v>6.9000000000000006E-2</v>
      </c>
      <c r="O40" t="s">
        <v>204</v>
      </c>
    </row>
    <row r="41" spans="1:15" x14ac:dyDescent="0.55000000000000004">
      <c r="C41" t="s">
        <v>29</v>
      </c>
      <c r="D41" s="15">
        <f>ABS(D28/D27)</f>
        <v>0.24556476150353415</v>
      </c>
      <c r="E41" s="15">
        <f>ABS(E28/E27)</f>
        <v>0.18342180705869443</v>
      </c>
      <c r="F41" s="15">
        <f>ABS(F28/F27)</f>
        <v>0.15943836804235059</v>
      </c>
      <c r="G41" s="42">
        <v>0.17</v>
      </c>
      <c r="H41" s="42">
        <v>0.16900000000000001</v>
      </c>
      <c r="I41" s="42">
        <f>H41</f>
        <v>0.16900000000000001</v>
      </c>
      <c r="J41" s="32">
        <f>I41</f>
        <v>0.16900000000000001</v>
      </c>
      <c r="K41" s="32">
        <f>J41</f>
        <v>0.16900000000000001</v>
      </c>
      <c r="O41" t="s">
        <v>169</v>
      </c>
    </row>
    <row r="43" spans="1:15" ht="14.7" thickBot="1" x14ac:dyDescent="0.6">
      <c r="A43" s="12" t="s">
        <v>31</v>
      </c>
      <c r="C43" s="36" t="s">
        <v>30</v>
      </c>
      <c r="D43" s="21"/>
      <c r="E43" s="21"/>
      <c r="F43" s="21"/>
      <c r="G43" s="21"/>
      <c r="H43" s="21"/>
      <c r="I43" s="21"/>
      <c r="J43" s="21"/>
      <c r="K43" s="21"/>
    </row>
    <row r="44" spans="1:15" x14ac:dyDescent="0.55000000000000004">
      <c r="C44" s="5" t="s">
        <v>8</v>
      </c>
      <c r="D44" s="23"/>
      <c r="E44" s="24">
        <f>F44-1</f>
        <v>2018</v>
      </c>
      <c r="F44" s="24">
        <f>YEAR($D$10)</f>
        <v>2019</v>
      </c>
      <c r="G44" s="25">
        <f>F44+1</f>
        <v>2020</v>
      </c>
      <c r="H44" s="25">
        <f>G44+1</f>
        <v>2021</v>
      </c>
      <c r="I44" s="25">
        <f>H44+1</f>
        <v>2022</v>
      </c>
      <c r="J44" s="25">
        <f>I44+1</f>
        <v>2023</v>
      </c>
      <c r="K44" s="25">
        <f>J44+1</f>
        <v>2024</v>
      </c>
    </row>
    <row r="45" spans="1:15" ht="14.7" thickBot="1" x14ac:dyDescent="0.6">
      <c r="C45" s="20" t="s">
        <v>9</v>
      </c>
      <c r="D45" s="22"/>
      <c r="E45" s="37">
        <f>EOMONTH(F45,-12)</f>
        <v>43373</v>
      </c>
      <c r="F45" s="37">
        <f>$D$10</f>
        <v>43736</v>
      </c>
      <c r="G45" s="37">
        <f>EOMONTH(F45,12)</f>
        <v>44104</v>
      </c>
      <c r="H45" s="37">
        <f>EOMONTH(G45,12)</f>
        <v>44469</v>
      </c>
      <c r="I45" s="37">
        <f>EOMONTH(H45,12)</f>
        <v>44834</v>
      </c>
      <c r="J45" s="37">
        <f>EOMONTH(I45,12)</f>
        <v>45199</v>
      </c>
      <c r="K45" s="37">
        <f>EOMONTH(J45,12)</f>
        <v>45565</v>
      </c>
    </row>
    <row r="46" spans="1:15" x14ac:dyDescent="0.55000000000000004">
      <c r="C46" t="s">
        <v>32</v>
      </c>
      <c r="E46" s="16">
        <f>25913+40388+170799</f>
        <v>237100</v>
      </c>
      <c r="F46" s="16">
        <f>48844+51713+105341</f>
        <v>205898</v>
      </c>
      <c r="G46" s="74">
        <f ca="1">F46+G99</f>
        <v>184483.91313296172</v>
      </c>
      <c r="H46" s="74">
        <f ca="1">G46+H99</f>
        <v>167026.6395006472</v>
      </c>
      <c r="I46" s="74">
        <f ca="1">H46+I99</f>
        <v>148221.92558361479</v>
      </c>
      <c r="J46" s="74">
        <f ca="1">I46+J99</f>
        <v>137839.3566200127</v>
      </c>
      <c r="K46" s="74">
        <f ca="1">J46+K99</f>
        <v>127077.11343517038</v>
      </c>
      <c r="O46" t="s">
        <v>80</v>
      </c>
    </row>
    <row r="47" spans="1:15" x14ac:dyDescent="0.55000000000000004">
      <c r="C47" t="s">
        <v>33</v>
      </c>
      <c r="E47" s="16">
        <v>23186</v>
      </c>
      <c r="F47" s="16">
        <v>22926</v>
      </c>
      <c r="G47" s="74">
        <f>G108</f>
        <v>26670.778082191791</v>
      </c>
      <c r="H47" s="74">
        <f t="shared" ref="H47:K47" si="7">H108</f>
        <v>25426.397767800758</v>
      </c>
      <c r="I47" s="74">
        <f t="shared" si="7"/>
        <v>29264.326534924054</v>
      </c>
      <c r="J47" s="74">
        <f t="shared" si="7"/>
        <v>28113.096905464525</v>
      </c>
      <c r="K47" s="74">
        <f t="shared" si="7"/>
        <v>32044.176357519333</v>
      </c>
      <c r="O47" t="s">
        <v>226</v>
      </c>
    </row>
    <row r="48" spans="1:15" x14ac:dyDescent="0.55000000000000004">
      <c r="C48" t="s">
        <v>34</v>
      </c>
      <c r="E48" s="16">
        <v>3956</v>
      </c>
      <c r="F48" s="16">
        <v>4106</v>
      </c>
      <c r="G48" s="74">
        <f>G120</f>
        <v>4105.8434090566334</v>
      </c>
      <c r="H48" s="74">
        <f t="shared" ref="H48:K48" si="8">H120</f>
        <v>4506.0610245388743</v>
      </c>
      <c r="I48" s="74">
        <f t="shared" si="8"/>
        <v>4534.5689791939039</v>
      </c>
      <c r="J48" s="74">
        <f t="shared" si="8"/>
        <v>4950.1848342825306</v>
      </c>
      <c r="K48" s="74">
        <f t="shared" si="8"/>
        <v>4994.0910285439422</v>
      </c>
      <c r="O48" t="s">
        <v>227</v>
      </c>
    </row>
    <row r="49" spans="3:15" x14ac:dyDescent="0.55000000000000004">
      <c r="C49" t="s">
        <v>250</v>
      </c>
      <c r="E49" s="16">
        <v>25809</v>
      </c>
      <c r="F49" s="16">
        <v>22878</v>
      </c>
      <c r="G49" s="74">
        <f>F49*(1+G37)</f>
        <v>23409.469831728002</v>
      </c>
      <c r="H49" s="74">
        <f t="shared" ref="H49:K49" si="9">G49*(1+H37)</f>
        <v>24589.647020166551</v>
      </c>
      <c r="I49" s="74">
        <f t="shared" si="9"/>
        <v>25813.790938562743</v>
      </c>
      <c r="J49" s="74">
        <f t="shared" si="9"/>
        <v>27081.901586916581</v>
      </c>
      <c r="K49" s="74">
        <f t="shared" si="9"/>
        <v>28393.978965228063</v>
      </c>
      <c r="O49" t="s">
        <v>81</v>
      </c>
    </row>
    <row r="50" spans="3:15" x14ac:dyDescent="0.55000000000000004">
      <c r="C50" t="s">
        <v>35</v>
      </c>
      <c r="E50" s="16">
        <v>12087</v>
      </c>
      <c r="F50" s="16">
        <v>12352</v>
      </c>
      <c r="G50" s="74">
        <f>F50*(1+G37)</f>
        <v>12638.944460245837</v>
      </c>
      <c r="H50" s="74">
        <f>G50*(1+H37)</f>
        <v>13276.130780360925</v>
      </c>
      <c r="I50" s="74">
        <f>H50*(1+I37)</f>
        <v>13937.055060456642</v>
      </c>
      <c r="J50" s="74">
        <f>I50*(1+J37)</f>
        <v>14621.717300532986</v>
      </c>
      <c r="K50" s="74">
        <f>J50*(1+K37)</f>
        <v>15330.117500589959</v>
      </c>
      <c r="O50" t="s">
        <v>81</v>
      </c>
    </row>
    <row r="51" spans="3:15" x14ac:dyDescent="0.55000000000000004">
      <c r="C51" t="s">
        <v>114</v>
      </c>
      <c r="E51" s="16">
        <v>41304</v>
      </c>
      <c r="F51" s="16">
        <v>37378</v>
      </c>
      <c r="G51" s="43">
        <f>G152</f>
        <v>43279.142857142855</v>
      </c>
      <c r="H51" s="43">
        <f>H152</f>
        <v>49032.714285714283</v>
      </c>
      <c r="I51" s="43">
        <f>I152</f>
        <v>54585.079492170866</v>
      </c>
      <c r="J51" s="43">
        <f>J152</f>
        <v>59521.062936988528</v>
      </c>
      <c r="K51" s="43">
        <f>K152</f>
        <v>63518.552364016796</v>
      </c>
      <c r="O51" t="s">
        <v>82</v>
      </c>
    </row>
    <row r="52" spans="3:15" x14ac:dyDescent="0.55000000000000004">
      <c r="C52" t="s">
        <v>36</v>
      </c>
      <c r="E52" s="16">
        <v>22283</v>
      </c>
      <c r="F52" s="16">
        <v>32978</v>
      </c>
      <c r="G52" s="74">
        <f>F52*(1+G37)</f>
        <v>33744.098964539124</v>
      </c>
      <c r="H52" s="74">
        <f>G52*(1+H37)</f>
        <v>35445.291521595092</v>
      </c>
      <c r="I52" s="74">
        <f>H52*(1+I37)</f>
        <v>37209.860895704267</v>
      </c>
      <c r="J52" s="74">
        <f>I52*(1+J37)</f>
        <v>39037.80708686664</v>
      </c>
      <c r="K52" s="74">
        <f>J52*(1+K37)</f>
        <v>40929.130095082219</v>
      </c>
      <c r="O52" t="s">
        <v>81</v>
      </c>
    </row>
    <row r="53" spans="3:15" x14ac:dyDescent="0.55000000000000004">
      <c r="C53" s="1" t="s">
        <v>37</v>
      </c>
      <c r="D53" s="1"/>
      <c r="E53" s="17">
        <f t="shared" ref="E53:K53" si="10">SUM(E46:E52)</f>
        <v>365725</v>
      </c>
      <c r="F53" s="17">
        <f t="shared" si="10"/>
        <v>338516</v>
      </c>
      <c r="G53" s="17">
        <f t="shared" ca="1" si="10"/>
        <v>328332.19073786598</v>
      </c>
      <c r="H53" s="17">
        <f t="shared" ca="1" si="10"/>
        <v>319302.88190082368</v>
      </c>
      <c r="I53" s="17">
        <f t="shared" ca="1" si="10"/>
        <v>313566.60748462722</v>
      </c>
      <c r="J53" s="17">
        <f t="shared" ca="1" si="10"/>
        <v>311165.1272710645</v>
      </c>
      <c r="K53" s="17">
        <f t="shared" ca="1" si="10"/>
        <v>312287.15974615072</v>
      </c>
    </row>
    <row r="55" spans="3:15" x14ac:dyDescent="0.55000000000000004">
      <c r="C55" t="s">
        <v>38</v>
      </c>
      <c r="E55" s="16">
        <v>55888</v>
      </c>
      <c r="F55" s="16">
        <v>46236</v>
      </c>
      <c r="G55" s="74">
        <f>F55*(G19/F19)</f>
        <v>47095.359943083917</v>
      </c>
      <c r="H55" s="74">
        <f>G55*(H19/G19)</f>
        <v>49389.731256725609</v>
      </c>
      <c r="I55" s="74">
        <f>H55*(I19/H19)</f>
        <v>51848.495268244696</v>
      </c>
      <c r="J55" s="74">
        <f>I55*(J19/I19)</f>
        <v>54395.569005196769</v>
      </c>
      <c r="K55" s="74">
        <f>J55*(K19/J19)</f>
        <v>57030.952467581832</v>
      </c>
      <c r="O55" t="s">
        <v>83</v>
      </c>
    </row>
    <row r="56" spans="3:15" x14ac:dyDescent="0.55000000000000004">
      <c r="C56" t="s">
        <v>39</v>
      </c>
      <c r="E56" s="16">
        <v>33327</v>
      </c>
      <c r="F56" s="16">
        <v>37720</v>
      </c>
      <c r="G56" s="74">
        <f>F56*(G19/F19)</f>
        <v>38421.07831674724</v>
      </c>
      <c r="H56" s="74">
        <f>G56*(H19/G19)</f>
        <v>40292.859741406908</v>
      </c>
      <c r="I56" s="74">
        <f>H56*(I19/H19)</f>
        <v>42298.755115455264</v>
      </c>
      <c r="J56" s="74">
        <f>I56*(J19/I19)</f>
        <v>44376.694845488833</v>
      </c>
      <c r="K56" s="74">
        <f>J56*(K19/J19)</f>
        <v>46526.678931507624</v>
      </c>
      <c r="O56" t="s">
        <v>83</v>
      </c>
    </row>
    <row r="57" spans="3:15" x14ac:dyDescent="0.55000000000000004">
      <c r="C57" t="s">
        <v>40</v>
      </c>
      <c r="E57" s="16">
        <v>5966</v>
      </c>
      <c r="F57" s="16">
        <v>5522</v>
      </c>
      <c r="G57" s="74">
        <f>F57*(1+G37)</f>
        <v>5650.2794130082184</v>
      </c>
      <c r="H57" s="74">
        <f>G57*(1+H37)</f>
        <v>5935.1355383057826</v>
      </c>
      <c r="I57" s="74">
        <f>H57*(1+I37)</f>
        <v>6230.6037924094535</v>
      </c>
      <c r="J57" s="74">
        <f>I57*(1+J37)</f>
        <v>6536.6841753192311</v>
      </c>
      <c r="K57" s="74">
        <f>J57*(1+K37)</f>
        <v>6853.3766870351155</v>
      </c>
      <c r="O57" t="s">
        <v>81</v>
      </c>
    </row>
    <row r="58" spans="3:15" x14ac:dyDescent="0.55000000000000004">
      <c r="C58" t="s">
        <v>41</v>
      </c>
      <c r="E58" s="16">
        <v>11964</v>
      </c>
      <c r="F58" s="16">
        <v>5980</v>
      </c>
      <c r="G58" s="43">
        <f ca="1">G206</f>
        <v>12000</v>
      </c>
      <c r="H58" s="43">
        <f ca="1">H206</f>
        <v>12000</v>
      </c>
      <c r="I58" s="43">
        <f ca="1">I206</f>
        <v>12000</v>
      </c>
      <c r="J58" s="43">
        <f ca="1">J206</f>
        <v>12000</v>
      </c>
      <c r="K58" s="43">
        <f ca="1">K206</f>
        <v>12000</v>
      </c>
      <c r="O58" t="s">
        <v>141</v>
      </c>
    </row>
    <row r="59" spans="3:15" x14ac:dyDescent="0.55000000000000004">
      <c r="C59" t="s">
        <v>42</v>
      </c>
      <c r="E59" s="16">
        <f>8784+93735</f>
        <v>102519</v>
      </c>
      <c r="F59" s="16">
        <f>10260+91807</f>
        <v>102067</v>
      </c>
      <c r="G59" s="74">
        <f>F59</f>
        <v>102067</v>
      </c>
      <c r="H59" s="74">
        <f>G59</f>
        <v>102067</v>
      </c>
      <c r="I59" s="74">
        <f>H59</f>
        <v>102067</v>
      </c>
      <c r="J59" s="74">
        <f>I59</f>
        <v>102067</v>
      </c>
      <c r="K59" s="74">
        <f>J59</f>
        <v>102067</v>
      </c>
      <c r="O59" t="s">
        <v>84</v>
      </c>
    </row>
    <row r="60" spans="3:15" x14ac:dyDescent="0.55000000000000004">
      <c r="C60" t="s">
        <v>43</v>
      </c>
      <c r="E60" s="16">
        <v>48914</v>
      </c>
      <c r="F60" s="16">
        <v>50503</v>
      </c>
      <c r="G60" s="74">
        <f>F60*(1+G37)</f>
        <v>51676.215355877226</v>
      </c>
      <c r="H60" s="74">
        <f>G60*(1+H37)</f>
        <v>54281.446956004511</v>
      </c>
      <c r="I60" s="74">
        <f>H60*(1+I37)</f>
        <v>56983.734756981998</v>
      </c>
      <c r="J60" s="74">
        <f>I60*(1+J37)</f>
        <v>59783.078758809686</v>
      </c>
      <c r="K60" s="74">
        <f>J60*(1+K37)</f>
        <v>62679.478961487577</v>
      </c>
      <c r="O60" t="s">
        <v>102</v>
      </c>
    </row>
    <row r="61" spans="3:15" x14ac:dyDescent="0.55000000000000004">
      <c r="C61" s="1" t="s">
        <v>44</v>
      </c>
      <c r="D61" s="1"/>
      <c r="E61" s="17">
        <f t="shared" ref="E61:K61" si="11">SUM(E55:E60)</f>
        <v>258578</v>
      </c>
      <c r="F61" s="17">
        <f t="shared" si="11"/>
        <v>248028</v>
      </c>
      <c r="G61" s="17">
        <f t="shared" ca="1" si="11"/>
        <v>256909.93302871659</v>
      </c>
      <c r="H61" s="17">
        <f t="shared" ca="1" si="11"/>
        <v>263966.17349244282</v>
      </c>
      <c r="I61" s="17">
        <f t="shared" ca="1" si="11"/>
        <v>271428.58893309144</v>
      </c>
      <c r="J61" s="17">
        <f t="shared" ca="1" si="11"/>
        <v>279159.02678481454</v>
      </c>
      <c r="K61" s="17">
        <f t="shared" ca="1" si="11"/>
        <v>287157.48704761214</v>
      </c>
    </row>
    <row r="63" spans="3:15" x14ac:dyDescent="0.55000000000000004">
      <c r="C63" t="s">
        <v>45</v>
      </c>
      <c r="E63" s="16">
        <v>40201</v>
      </c>
      <c r="F63" s="16">
        <v>45174</v>
      </c>
      <c r="G63" s="74">
        <f>F63+G33</f>
        <v>51382.963324544347</v>
      </c>
      <c r="H63" s="74">
        <f>G63+H33</f>
        <v>57904.948555699637</v>
      </c>
      <c r="I63" s="74">
        <f>H63+I33</f>
        <v>64751.61712004961</v>
      </c>
      <c r="J63" s="74">
        <f>I63+J33</f>
        <v>71934.630444178023</v>
      </c>
      <c r="K63" s="74">
        <f>J63+K33</f>
        <v>79465.649954668625</v>
      </c>
      <c r="O63" t="s">
        <v>85</v>
      </c>
    </row>
    <row r="64" spans="3:15" x14ac:dyDescent="0.55000000000000004">
      <c r="C64" t="s">
        <v>46</v>
      </c>
      <c r="E64" s="16">
        <v>70400</v>
      </c>
      <c r="F64" s="16">
        <v>45898</v>
      </c>
      <c r="G64" s="34">
        <f ca="1">G190</f>
        <v>20623.294384604989</v>
      </c>
      <c r="H64" s="34">
        <f ca="1">H190</f>
        <v>-1984.2401473187783</v>
      </c>
      <c r="I64" s="34">
        <f ca="1">I190</f>
        <v>-22029.598568718422</v>
      </c>
      <c r="J64" s="34">
        <f ca="1">J190</f>
        <v>-39344.529960286294</v>
      </c>
      <c r="K64" s="34">
        <f ca="1">K190</f>
        <v>-53751.977292367286</v>
      </c>
      <c r="O64" t="s">
        <v>86</v>
      </c>
    </row>
    <row r="65" spans="1:15" x14ac:dyDescent="0.55000000000000004">
      <c r="C65" t="s">
        <v>47</v>
      </c>
      <c r="E65" s="16">
        <v>-3454</v>
      </c>
      <c r="F65" s="16">
        <v>-584</v>
      </c>
      <c r="G65" s="74">
        <f>F65</f>
        <v>-584</v>
      </c>
      <c r="H65" s="74">
        <f>G65</f>
        <v>-584</v>
      </c>
      <c r="I65" s="74">
        <f>H65</f>
        <v>-584</v>
      </c>
      <c r="J65" s="74">
        <f>I65</f>
        <v>-584</v>
      </c>
      <c r="K65" s="74">
        <f>J65</f>
        <v>-584</v>
      </c>
      <c r="O65" t="s">
        <v>84</v>
      </c>
    </row>
    <row r="66" spans="1:15" x14ac:dyDescent="0.55000000000000004">
      <c r="C66" s="1" t="s">
        <v>48</v>
      </c>
      <c r="D66" s="1"/>
      <c r="E66" s="17">
        <f t="shared" ref="E66:K66" si="12">SUM(E63:E65)</f>
        <v>107147</v>
      </c>
      <c r="F66" s="17">
        <f t="shared" si="12"/>
        <v>90488</v>
      </c>
      <c r="G66" s="17">
        <f t="shared" ca="1" si="12"/>
        <v>71422.257709149329</v>
      </c>
      <c r="H66" s="17">
        <f t="shared" ca="1" si="12"/>
        <v>55336.708408380859</v>
      </c>
      <c r="I66" s="17">
        <f t="shared" ca="1" si="12"/>
        <v>42138.018551331188</v>
      </c>
      <c r="J66" s="17">
        <f t="shared" ca="1" si="12"/>
        <v>32006.100483891729</v>
      </c>
      <c r="K66" s="17">
        <f t="shared" ca="1" si="12"/>
        <v>25129.672662301338</v>
      </c>
    </row>
    <row r="68" spans="1:15" x14ac:dyDescent="0.55000000000000004">
      <c r="C68" s="50" t="s">
        <v>49</v>
      </c>
      <c r="D68" s="5"/>
      <c r="E68" s="68" t="str">
        <f>IF(ABS(E53-E61-E66)&lt;1,"Ok","Out of balance")</f>
        <v>Ok</v>
      </c>
      <c r="F68" s="68" t="str">
        <f t="shared" ref="F68:K68" si="13">IF(ABS(F53-F61-F66)&lt;1,"Ok","Out of balance")</f>
        <v>Ok</v>
      </c>
      <c r="G68" s="68" t="str">
        <f t="shared" ca="1" si="13"/>
        <v>Ok</v>
      </c>
      <c r="H68" s="68" t="str">
        <f t="shared" ca="1" si="13"/>
        <v>Ok</v>
      </c>
      <c r="I68" s="68" t="str">
        <f t="shared" ca="1" si="13"/>
        <v>Ok</v>
      </c>
      <c r="J68" s="68" t="str">
        <f t="shared" ca="1" si="13"/>
        <v>Ok</v>
      </c>
      <c r="K68" s="68" t="str">
        <f t="shared" ca="1" si="13"/>
        <v>Ok</v>
      </c>
    </row>
    <row r="69" spans="1:15" x14ac:dyDescent="0.55000000000000004">
      <c r="F69" s="43"/>
      <c r="G69" s="43"/>
    </row>
    <row r="70" spans="1:15" x14ac:dyDescent="0.55000000000000004">
      <c r="C70" s="1" t="s">
        <v>50</v>
      </c>
    </row>
    <row r="71" spans="1:15" x14ac:dyDescent="0.55000000000000004">
      <c r="C71" t="s">
        <v>51</v>
      </c>
      <c r="D71" s="16">
        <v>12451</v>
      </c>
      <c r="E71" s="16">
        <v>13313</v>
      </c>
      <c r="F71" s="16">
        <v>10495</v>
      </c>
      <c r="H71" t="s">
        <v>21</v>
      </c>
    </row>
    <row r="72" spans="1:15" x14ac:dyDescent="0.55000000000000004">
      <c r="C72" t="s">
        <v>52</v>
      </c>
      <c r="D72" s="16">
        <v>-8200</v>
      </c>
      <c r="E72" s="16">
        <v>-9300</v>
      </c>
      <c r="F72" s="16">
        <v>-11300</v>
      </c>
      <c r="H72" t="s">
        <v>58</v>
      </c>
    </row>
    <row r="73" spans="1:15" x14ac:dyDescent="0.55000000000000004">
      <c r="C73" t="s">
        <v>53</v>
      </c>
      <c r="D73" s="16">
        <v>-12803</v>
      </c>
      <c r="E73" s="16">
        <v>-13735</v>
      </c>
      <c r="F73" s="16">
        <v>-14129</v>
      </c>
      <c r="H73" t="s">
        <v>59</v>
      </c>
    </row>
    <row r="74" spans="1:15" x14ac:dyDescent="0.55000000000000004">
      <c r="C74" t="s">
        <v>54</v>
      </c>
      <c r="D74" s="16">
        <v>-33001</v>
      </c>
      <c r="E74" s="16">
        <v>-73056</v>
      </c>
      <c r="F74" s="16">
        <v>-67101</v>
      </c>
      <c r="H74" t="s">
        <v>59</v>
      </c>
    </row>
    <row r="75" spans="1:15" x14ac:dyDescent="0.55000000000000004">
      <c r="C75" t="s">
        <v>56</v>
      </c>
      <c r="D75" s="16"/>
      <c r="E75" s="30">
        <v>2.18E-2</v>
      </c>
      <c r="F75" s="30">
        <v>2.24E-2</v>
      </c>
      <c r="H75" t="s">
        <v>60</v>
      </c>
    </row>
    <row r="76" spans="1:15" x14ac:dyDescent="0.55000000000000004">
      <c r="C76" t="s">
        <v>57</v>
      </c>
      <c r="D76" s="16"/>
      <c r="E76" s="30">
        <v>2.1600000000000001E-2</v>
      </c>
      <c r="F76" s="30">
        <v>2.1899999999999999E-2</v>
      </c>
      <c r="H76" t="s">
        <v>61</v>
      </c>
    </row>
    <row r="78" spans="1:15" ht="14.7" thickBot="1" x14ac:dyDescent="0.6">
      <c r="A78" s="12" t="s">
        <v>31</v>
      </c>
      <c r="C78" s="36" t="s">
        <v>87</v>
      </c>
      <c r="D78" s="21"/>
      <c r="E78" s="21"/>
      <c r="F78" s="21"/>
      <c r="G78" s="21"/>
      <c r="H78" s="21"/>
      <c r="I78" s="21"/>
      <c r="J78" s="21"/>
      <c r="K78" s="21"/>
    </row>
    <row r="79" spans="1:15" x14ac:dyDescent="0.55000000000000004">
      <c r="C79" s="5" t="s">
        <v>8</v>
      </c>
      <c r="G79" s="38">
        <v>2020</v>
      </c>
      <c r="H79" s="38">
        <f>G79+1</f>
        <v>2021</v>
      </c>
      <c r="I79" s="38">
        <f>H79+1</f>
        <v>2022</v>
      </c>
      <c r="J79" s="38">
        <f>I79+1</f>
        <v>2023</v>
      </c>
      <c r="K79" s="38">
        <f>J79+1</f>
        <v>2024</v>
      </c>
    </row>
    <row r="80" spans="1:15" ht="14.7" thickBot="1" x14ac:dyDescent="0.6">
      <c r="C80" s="20" t="s">
        <v>9</v>
      </c>
      <c r="D80" s="21"/>
      <c r="E80" s="21"/>
      <c r="F80" s="21"/>
      <c r="G80" s="37">
        <f>G16</f>
        <v>44104</v>
      </c>
      <c r="H80" s="37">
        <f>H16</f>
        <v>44469</v>
      </c>
      <c r="I80" s="37">
        <f>I16</f>
        <v>44834</v>
      </c>
      <c r="J80" s="37">
        <f>J16</f>
        <v>45199</v>
      </c>
      <c r="K80" s="37">
        <f>K16</f>
        <v>45565</v>
      </c>
    </row>
    <row r="81" spans="3:15" x14ac:dyDescent="0.55000000000000004">
      <c r="C81" t="s">
        <v>88</v>
      </c>
      <c r="G81" s="74">
        <f ca="1">G29</f>
        <v>55955.294384606859</v>
      </c>
      <c r="H81" s="74">
        <f ca="1">H29</f>
        <v>58622.465468099552</v>
      </c>
      <c r="I81" s="74">
        <f ca="1">I29</f>
        <v>61184.641578951305</v>
      </c>
      <c r="J81" s="74">
        <f ca="1">J29</f>
        <v>63915.068611200782</v>
      </c>
      <c r="K81" s="74">
        <f ca="1">K29</f>
        <v>66822.552703754292</v>
      </c>
    </row>
    <row r="82" spans="3:15" x14ac:dyDescent="0.55000000000000004">
      <c r="C82" t="s">
        <v>89</v>
      </c>
      <c r="G82" s="74">
        <f>G177</f>
        <v>9023.8257100467927</v>
      </c>
      <c r="H82" s="74">
        <f>H177</f>
        <v>9405.7244816544517</v>
      </c>
      <c r="I82" s="74">
        <f>I177</f>
        <v>10361.604403658206</v>
      </c>
      <c r="J82" s="74">
        <f>J177</f>
        <v>11759.764958198808</v>
      </c>
      <c r="K82" s="74">
        <f>K177</f>
        <v>13507.142861902648</v>
      </c>
      <c r="O82" t="s">
        <v>123</v>
      </c>
    </row>
    <row r="83" spans="3:15" x14ac:dyDescent="0.55000000000000004">
      <c r="C83" t="s">
        <v>90</v>
      </c>
      <c r="G83" s="74">
        <f>G33</f>
        <v>6208.9633245443447</v>
      </c>
      <c r="H83" s="74">
        <f>H33</f>
        <v>6521.9852311552859</v>
      </c>
      <c r="I83" s="74">
        <f>I33</f>
        <v>6846.668564349975</v>
      </c>
      <c r="J83" s="74">
        <f>J33</f>
        <v>7183.013324128412</v>
      </c>
      <c r="K83" s="74">
        <f>K33</f>
        <v>7531.019510490597</v>
      </c>
    </row>
    <row r="84" spans="3:15" x14ac:dyDescent="0.55000000000000004">
      <c r="C84" t="s">
        <v>91</v>
      </c>
      <c r="G84" s="74">
        <f>SUM(F47:F50)-SUM(G47:G50)</f>
        <v>-4563.0357832222653</v>
      </c>
      <c r="H84" s="74">
        <f>SUM(G47:G50)-SUM(H47:H50)</f>
        <v>-973.20080964484077</v>
      </c>
      <c r="I84" s="74">
        <f>SUM(H47:H50)-SUM(I47:I50)</f>
        <v>-5751.5049202702357</v>
      </c>
      <c r="J84" s="74">
        <f>SUM(I47:I50)-SUM(J47:J50)</f>
        <v>-1217.1591140592791</v>
      </c>
      <c r="K84" s="74">
        <f>SUM(J47:J50)-SUM(K47:K50)</f>
        <v>-5995.4632246846741</v>
      </c>
    </row>
    <row r="85" spans="3:15" x14ac:dyDescent="0.55000000000000004">
      <c r="C85" t="s">
        <v>92</v>
      </c>
      <c r="G85" s="74">
        <f>SUM(G55:G57)-SUM(F55:F57)</f>
        <v>1688.7176728393824</v>
      </c>
      <c r="H85" s="74">
        <f>SUM(H55:H57)-SUM(G55:G57)</f>
        <v>4451.0088635989086</v>
      </c>
      <c r="I85" s="74">
        <f>SUM(I55:I57)-SUM(H55:H57)</f>
        <v>4760.1276396711182</v>
      </c>
      <c r="J85" s="74">
        <f>SUM(J55:J57)-SUM(I55:I57)</f>
        <v>4931.0938498954201</v>
      </c>
      <c r="K85" s="74">
        <f>SUM(K55:K57)-SUM(J55:J57)</f>
        <v>5102.0600601197366</v>
      </c>
    </row>
    <row r="86" spans="3:15" x14ac:dyDescent="0.55000000000000004">
      <c r="C86" t="s">
        <v>36</v>
      </c>
      <c r="G86" s="34">
        <f>-G182</f>
        <v>-2042.0675317287739</v>
      </c>
      <c r="H86" s="34">
        <f>-H182</f>
        <v>-3041.4884672818489</v>
      </c>
      <c r="I86" s="34">
        <f>-I182</f>
        <v>-3171.5891005008061</v>
      </c>
      <c r="J86" s="34">
        <f>-J182</f>
        <v>-3304.086206849277</v>
      </c>
      <c r="K86" s="34">
        <f>-K182</f>
        <v>-3438.9797863272756</v>
      </c>
      <c r="O86" t="s">
        <v>124</v>
      </c>
    </row>
    <row r="87" spans="3:15" x14ac:dyDescent="0.55000000000000004">
      <c r="C87" t="s">
        <v>43</v>
      </c>
      <c r="G87" s="74">
        <f>G60-F60</f>
        <v>1173.2153558772261</v>
      </c>
      <c r="H87" s="74">
        <f>H60-G60</f>
        <v>2605.2316001272848</v>
      </c>
      <c r="I87" s="74">
        <f>I60-H60</f>
        <v>2702.2878009774868</v>
      </c>
      <c r="J87" s="74">
        <f>J60-I60</f>
        <v>2799.3440018276888</v>
      </c>
      <c r="K87" s="74">
        <f>K60-J60</f>
        <v>2896.4002026778908</v>
      </c>
    </row>
    <row r="88" spans="3:15" x14ac:dyDescent="0.55000000000000004">
      <c r="C88" s="1" t="s">
        <v>93</v>
      </c>
      <c r="G88" s="17">
        <f ca="1">SUM(G81:G87)</f>
        <v>67444.913132963571</v>
      </c>
      <c r="H88" s="17">
        <f ca="1">SUM(H81:H87)</f>
        <v>77591.72636770879</v>
      </c>
      <c r="I88" s="17">
        <f ca="1">SUM(I81:I87)</f>
        <v>76932.235966837063</v>
      </c>
      <c r="J88" s="17">
        <f ca="1">SUM(J81:J87)</f>
        <v>86067.039424342554</v>
      </c>
      <c r="K88" s="17">
        <f ca="1">SUM(K81:K87)</f>
        <v>86424.732327933219</v>
      </c>
    </row>
    <row r="90" spans="3:15" x14ac:dyDescent="0.55000000000000004">
      <c r="C90" t="s">
        <v>94</v>
      </c>
      <c r="G90" s="43">
        <f>-G150</f>
        <v>-13649</v>
      </c>
      <c r="H90" s="43">
        <f>-H150</f>
        <v>-13819</v>
      </c>
      <c r="I90" s="43">
        <f>-I150</f>
        <v>-14506.949883723155</v>
      </c>
      <c r="J90" s="43">
        <f>-J150</f>
        <v>-15219.608387329563</v>
      </c>
      <c r="K90" s="43">
        <f>-K150</f>
        <v>-15956.975510819226</v>
      </c>
      <c r="O90" t="s">
        <v>82</v>
      </c>
    </row>
    <row r="91" spans="3:15" x14ac:dyDescent="0.55000000000000004">
      <c r="C91" s="1" t="s">
        <v>95</v>
      </c>
      <c r="G91" s="17">
        <f>SUM(G90)</f>
        <v>-13649</v>
      </c>
      <c r="H91" s="17">
        <f>SUM(H90)</f>
        <v>-13819</v>
      </c>
      <c r="I91" s="17">
        <f>SUM(I90)</f>
        <v>-14506.949883723155</v>
      </c>
      <c r="J91" s="17">
        <f>SUM(J90)</f>
        <v>-15219.608387329563</v>
      </c>
      <c r="K91" s="17">
        <f>SUM(K90)</f>
        <v>-15956.975510819226</v>
      </c>
    </row>
    <row r="93" spans="3:15" x14ac:dyDescent="0.55000000000000004">
      <c r="C93" t="s">
        <v>96</v>
      </c>
      <c r="G93" s="74">
        <f>G59-F59</f>
        <v>0</v>
      </c>
      <c r="H93" s="74">
        <f>H59-G59</f>
        <v>0</v>
      </c>
      <c r="I93" s="74">
        <f>I59-H59</f>
        <v>0</v>
      </c>
      <c r="J93" s="74">
        <f>J59-I59</f>
        <v>0</v>
      </c>
      <c r="K93" s="74">
        <f>K59-J59</f>
        <v>0</v>
      </c>
    </row>
    <row r="94" spans="3:15" x14ac:dyDescent="0.55000000000000004">
      <c r="C94" t="s">
        <v>97</v>
      </c>
      <c r="G94" s="74">
        <f ca="1">G58-F58</f>
        <v>6020</v>
      </c>
      <c r="H94" s="74">
        <f ca="1">H58-G58</f>
        <v>0</v>
      </c>
      <c r="I94" s="74">
        <f ca="1">I58-H58</f>
        <v>0</v>
      </c>
      <c r="J94" s="74">
        <f ca="1">J58-I58</f>
        <v>0</v>
      </c>
      <c r="K94" s="74">
        <f ca="1">K58-J58</f>
        <v>0</v>
      </c>
      <c r="O94" t="s">
        <v>141</v>
      </c>
    </row>
    <row r="95" spans="3:15" x14ac:dyDescent="0.55000000000000004">
      <c r="C95" t="s">
        <v>98</v>
      </c>
      <c r="G95" s="74">
        <f>G189</f>
        <v>-67101</v>
      </c>
      <c r="H95" s="74">
        <f>H189</f>
        <v>-67101</v>
      </c>
      <c r="I95" s="74">
        <f>I189</f>
        <v>-67101</v>
      </c>
      <c r="J95" s="74">
        <f>J189</f>
        <v>-67101</v>
      </c>
      <c r="K95" s="74">
        <f>K189</f>
        <v>-67101</v>
      </c>
      <c r="O95" t="s">
        <v>86</v>
      </c>
    </row>
    <row r="96" spans="3:15" x14ac:dyDescent="0.55000000000000004">
      <c r="C96" t="s">
        <v>99</v>
      </c>
      <c r="G96" s="74">
        <f>G188</f>
        <v>-14129</v>
      </c>
      <c r="H96" s="74">
        <f>H188</f>
        <v>-14129</v>
      </c>
      <c r="I96" s="74">
        <f>I188</f>
        <v>-14129</v>
      </c>
      <c r="J96" s="74">
        <f>J188</f>
        <v>-14129</v>
      </c>
      <c r="K96" s="74">
        <f>K188</f>
        <v>-14129</v>
      </c>
      <c r="O96" t="s">
        <v>86</v>
      </c>
    </row>
    <row r="97" spans="1:11" x14ac:dyDescent="0.55000000000000004">
      <c r="C97" s="1" t="s">
        <v>100</v>
      </c>
      <c r="G97" s="17">
        <f ca="1">SUM(G93:G96)</f>
        <v>-75210</v>
      </c>
      <c r="H97" s="17">
        <f ca="1">SUM(H93:H96)</f>
        <v>-81230</v>
      </c>
      <c r="I97" s="17">
        <f ca="1">SUM(I93:I96)</f>
        <v>-81230</v>
      </c>
      <c r="J97" s="17">
        <f ca="1">SUM(J93:J96)</f>
        <v>-81230</v>
      </c>
      <c r="K97" s="17">
        <f ca="1">SUM(K93:K96)</f>
        <v>-81230</v>
      </c>
    </row>
    <row r="99" spans="1:11" x14ac:dyDescent="0.55000000000000004">
      <c r="C99" s="1" t="s">
        <v>101</v>
      </c>
      <c r="G99" s="17">
        <f ca="1">G88+G91+G97</f>
        <v>-21414.086867036429</v>
      </c>
      <c r="H99" s="17">
        <f ca="1">H88+H91+H97</f>
        <v>-17457.27363229121</v>
      </c>
      <c r="I99" s="17">
        <f ca="1">I88+I91+I97</f>
        <v>-18804.713916886089</v>
      </c>
      <c r="J99" s="17">
        <f ca="1">J88+J91+J97</f>
        <v>-10382.568962987003</v>
      </c>
      <c r="K99" s="17">
        <f ca="1">K88+K91+K97</f>
        <v>-10762.243182886014</v>
      </c>
    </row>
    <row r="100" spans="1:11" x14ac:dyDescent="0.55000000000000004">
      <c r="C100" s="1"/>
      <c r="G100" s="17"/>
      <c r="H100" s="17"/>
      <c r="I100" s="17"/>
      <c r="J100" s="17"/>
      <c r="K100" s="17"/>
    </row>
    <row r="101" spans="1:11" ht="14.7" thickBot="1" x14ac:dyDescent="0.6">
      <c r="A101" s="12" t="s">
        <v>31</v>
      </c>
      <c r="C101" s="36" t="s">
        <v>228</v>
      </c>
      <c r="D101" s="21"/>
      <c r="E101" s="21"/>
      <c r="F101" s="21"/>
      <c r="G101" s="109"/>
      <c r="H101" s="109"/>
      <c r="I101" s="109"/>
      <c r="J101" s="109"/>
      <c r="K101" s="109"/>
    </row>
    <row r="102" spans="1:11" x14ac:dyDescent="0.55000000000000004">
      <c r="C102" s="5" t="s">
        <v>8</v>
      </c>
      <c r="D102" s="23">
        <f>E102-1</f>
        <v>2017</v>
      </c>
      <c r="E102" s="23">
        <f>F102-1</f>
        <v>2018</v>
      </c>
      <c r="F102" s="23">
        <f>G102-1</f>
        <v>2019</v>
      </c>
      <c r="G102" s="38">
        <v>2020</v>
      </c>
      <c r="H102" s="38">
        <f>G102+1</f>
        <v>2021</v>
      </c>
      <c r="I102" s="38">
        <f>H102+1</f>
        <v>2022</v>
      </c>
      <c r="J102" s="38">
        <f>I102+1</f>
        <v>2023</v>
      </c>
      <c r="K102" s="38">
        <f>J102+1</f>
        <v>2024</v>
      </c>
    </row>
    <row r="103" spans="1:11" ht="14.7" thickBot="1" x14ac:dyDescent="0.6">
      <c r="C103" s="20" t="s">
        <v>9</v>
      </c>
      <c r="D103" s="37">
        <f t="shared" ref="D103:K103" si="14">D16</f>
        <v>43008</v>
      </c>
      <c r="E103" s="37">
        <f t="shared" si="14"/>
        <v>43373</v>
      </c>
      <c r="F103" s="37">
        <f t="shared" si="14"/>
        <v>43736</v>
      </c>
      <c r="G103" s="37">
        <f t="shared" si="14"/>
        <v>44104</v>
      </c>
      <c r="H103" s="37">
        <f t="shared" si="14"/>
        <v>44469</v>
      </c>
      <c r="I103" s="37">
        <f t="shared" si="14"/>
        <v>44834</v>
      </c>
      <c r="J103" s="37">
        <f t="shared" si="14"/>
        <v>45199</v>
      </c>
      <c r="K103" s="37">
        <f t="shared" si="14"/>
        <v>45565</v>
      </c>
    </row>
    <row r="104" spans="1:11" x14ac:dyDescent="0.55000000000000004">
      <c r="C104" s="1"/>
      <c r="G104" s="17"/>
      <c r="H104" s="17"/>
      <c r="I104" s="17"/>
      <c r="J104" s="17"/>
      <c r="K104" s="17"/>
    </row>
    <row r="105" spans="1:11" ht="14.7" thickBot="1" x14ac:dyDescent="0.6">
      <c r="A105" s="12" t="s">
        <v>31</v>
      </c>
      <c r="C105" s="36" t="s">
        <v>229</v>
      </c>
      <c r="D105" s="116" t="s">
        <v>233</v>
      </c>
      <c r="E105" s="116"/>
      <c r="F105" s="116"/>
      <c r="G105" s="117" t="s">
        <v>108</v>
      </c>
      <c r="H105" s="118"/>
      <c r="I105" s="118"/>
      <c r="J105" s="118"/>
      <c r="K105" s="118"/>
    </row>
    <row r="106" spans="1:11" x14ac:dyDescent="0.55000000000000004">
      <c r="C106" s="27" t="s">
        <v>104</v>
      </c>
      <c r="F106" s="43">
        <f>E108</f>
        <v>23186</v>
      </c>
      <c r="G106" s="17">
        <f>F108</f>
        <v>22926</v>
      </c>
      <c r="H106" s="17">
        <f t="shared" ref="H106:K106" si="15">G108</f>
        <v>26670.778082191791</v>
      </c>
      <c r="I106" s="17">
        <f t="shared" si="15"/>
        <v>25426.397767800758</v>
      </c>
      <c r="J106" s="17">
        <f t="shared" si="15"/>
        <v>29264.326534924054</v>
      </c>
      <c r="K106" s="17">
        <f t="shared" si="15"/>
        <v>28113.096905464525</v>
      </c>
    </row>
    <row r="107" spans="1:11" x14ac:dyDescent="0.55000000000000004">
      <c r="C107" s="27" t="s">
        <v>230</v>
      </c>
      <c r="F107" s="43">
        <f>F108-F106</f>
        <v>-260</v>
      </c>
      <c r="G107" s="17">
        <f>G108-G106</f>
        <v>3744.7780821917913</v>
      </c>
      <c r="H107" s="17">
        <f t="shared" ref="H107:K107" si="16">H108-H106</f>
        <v>-1244.3803143910336</v>
      </c>
      <c r="I107" s="17">
        <f t="shared" si="16"/>
        <v>3837.928767123296</v>
      </c>
      <c r="J107" s="17">
        <f t="shared" si="16"/>
        <v>-1151.229629459529</v>
      </c>
      <c r="K107" s="17">
        <f t="shared" si="16"/>
        <v>3931.0794520548079</v>
      </c>
    </row>
    <row r="108" spans="1:11" x14ac:dyDescent="0.55000000000000004">
      <c r="C108" s="27" t="s">
        <v>107</v>
      </c>
      <c r="E108" s="43">
        <f>E47</f>
        <v>23186</v>
      </c>
      <c r="F108" s="43">
        <f>F47</f>
        <v>22926</v>
      </c>
      <c r="G108" s="17">
        <f>IF($G$112=2,2*G18*G115/365-G106,F108*(1+G114))</f>
        <v>26670.778082191791</v>
      </c>
      <c r="H108" s="17">
        <f>IF($G$112=2,2*H18*H115/365-H106,G108*(1+H114))</f>
        <v>25426.397767800758</v>
      </c>
      <c r="I108" s="17">
        <f>IF($G$112=2,2*I18*I115/365-I106,H108*(1+I114))</f>
        <v>29264.326534924054</v>
      </c>
      <c r="J108" s="17">
        <f>IF($G$112=2,2*J18*J115/365-J106,I108*(1+J114))</f>
        <v>28113.096905464525</v>
      </c>
      <c r="K108" s="17">
        <f>IF($G$112=2,2*K18*K115/365-K106,J108*(1+K114))</f>
        <v>32044.176357519333</v>
      </c>
    </row>
    <row r="109" spans="1:11" x14ac:dyDescent="0.55000000000000004">
      <c r="C109" s="27"/>
      <c r="G109" s="17"/>
      <c r="H109" s="17"/>
      <c r="I109" s="17"/>
      <c r="J109" s="17"/>
      <c r="K109" s="17"/>
    </row>
    <row r="110" spans="1:11" x14ac:dyDescent="0.55000000000000004">
      <c r="C110" s="27" t="s">
        <v>231</v>
      </c>
      <c r="F110" s="86">
        <f>AVERAGE(E47:F47)/F18</f>
        <v>8.8617617440635885E-2</v>
      </c>
      <c r="G110" s="86">
        <f t="shared" ref="G110:K110" si="17">AVERAGE(F47:G47)/G18</f>
        <v>9.3150684931506855E-2</v>
      </c>
      <c r="H110" s="86">
        <f t="shared" si="17"/>
        <v>9.3150684931506855E-2</v>
      </c>
      <c r="I110" s="86">
        <f t="shared" si="17"/>
        <v>9.3150684931506855E-2</v>
      </c>
      <c r="J110" s="86">
        <f t="shared" si="17"/>
        <v>9.3150684931506855E-2</v>
      </c>
      <c r="K110" s="86">
        <f t="shared" si="17"/>
        <v>9.3150684931506855E-2</v>
      </c>
    </row>
    <row r="111" spans="1:11" x14ac:dyDescent="0.55000000000000004">
      <c r="C111" s="27"/>
      <c r="G111" s="17"/>
      <c r="H111" s="17"/>
      <c r="I111" s="17"/>
      <c r="J111" s="17"/>
      <c r="K111" s="17"/>
    </row>
    <row r="112" spans="1:11" x14ac:dyDescent="0.55000000000000004">
      <c r="C112" s="27" t="s">
        <v>239</v>
      </c>
      <c r="G112" s="110">
        <v>2</v>
      </c>
      <c r="H112" s="17"/>
      <c r="I112" s="17"/>
      <c r="J112" s="17"/>
      <c r="K112" s="17"/>
    </row>
    <row r="113" spans="1:11" x14ac:dyDescent="0.55000000000000004">
      <c r="C113" s="27"/>
      <c r="G113" s="17"/>
      <c r="H113" s="17"/>
      <c r="I113" s="17"/>
      <c r="J113" s="17"/>
      <c r="K113" s="17"/>
    </row>
    <row r="114" spans="1:11" x14ac:dyDescent="0.55000000000000004">
      <c r="C114" s="27" t="s">
        <v>232</v>
      </c>
      <c r="F114" s="86">
        <f>F37</f>
        <v>-2.04107758052674E-2</v>
      </c>
      <c r="G114" s="123">
        <f t="shared" ref="G114:K114" si="18">G37</f>
        <v>2.3230607209021814E-2</v>
      </c>
      <c r="H114" s="123">
        <f t="shared" si="18"/>
        <v>5.0414520145988018E-2</v>
      </c>
      <c r="I114" s="123">
        <f t="shared" si="18"/>
        <v>4.9782899176724404E-2</v>
      </c>
      <c r="J114" s="123">
        <f t="shared" si="18"/>
        <v>4.9125316439261546E-2</v>
      </c>
      <c r="K114" s="123">
        <f t="shared" si="18"/>
        <v>4.8448495173077255E-2</v>
      </c>
    </row>
    <row r="115" spans="1:11" x14ac:dyDescent="0.55000000000000004">
      <c r="C115" s="27" t="s">
        <v>234</v>
      </c>
      <c r="F115" s="111">
        <f>F110*365</f>
        <v>32.345430365832101</v>
      </c>
      <c r="G115" s="124">
        <v>34</v>
      </c>
      <c r="H115" s="124">
        <v>34</v>
      </c>
      <c r="I115" s="124">
        <v>34</v>
      </c>
      <c r="J115" s="124">
        <v>34</v>
      </c>
      <c r="K115" s="124">
        <v>34</v>
      </c>
    </row>
    <row r="116" spans="1:11" x14ac:dyDescent="0.55000000000000004">
      <c r="C116" s="1"/>
      <c r="G116" s="17"/>
      <c r="H116" s="17"/>
      <c r="I116" s="17"/>
      <c r="J116" s="17"/>
      <c r="K116" s="17"/>
    </row>
    <row r="117" spans="1:11" ht="14.7" thickBot="1" x14ac:dyDescent="0.6">
      <c r="A117" s="12" t="s">
        <v>31</v>
      </c>
      <c r="C117" s="36" t="s">
        <v>235</v>
      </c>
      <c r="D117" s="116" t="s">
        <v>233</v>
      </c>
      <c r="E117" s="116"/>
      <c r="F117" s="116"/>
      <c r="G117" s="117" t="s">
        <v>108</v>
      </c>
      <c r="H117" s="118"/>
      <c r="I117" s="118"/>
      <c r="J117" s="118"/>
      <c r="K117" s="118"/>
    </row>
    <row r="118" spans="1:11" x14ac:dyDescent="0.55000000000000004">
      <c r="C118" s="27" t="s">
        <v>104</v>
      </c>
      <c r="F118" s="43">
        <f>E120</f>
        <v>3956</v>
      </c>
      <c r="G118" s="122">
        <f>F120</f>
        <v>4106</v>
      </c>
      <c r="H118" s="122">
        <f t="shared" ref="H118:K118" si="19">G120</f>
        <v>4105.8434090566334</v>
      </c>
      <c r="I118" s="122">
        <f t="shared" si="19"/>
        <v>4506.0610245388743</v>
      </c>
      <c r="J118" s="122">
        <f t="shared" si="19"/>
        <v>4534.5689791939039</v>
      </c>
      <c r="K118" s="122">
        <f t="shared" si="19"/>
        <v>4950.1848342825306</v>
      </c>
    </row>
    <row r="119" spans="1:11" x14ac:dyDescent="0.55000000000000004">
      <c r="C119" s="27" t="s">
        <v>230</v>
      </c>
      <c r="F119" s="43">
        <f>F120-F118</f>
        <v>150</v>
      </c>
      <c r="G119" s="122">
        <f>G120-G118</f>
        <v>-0.15659094336660928</v>
      </c>
      <c r="H119" s="122">
        <f t="shared" ref="H119:K119" si="20">H120-H118</f>
        <v>400.21761548224094</v>
      </c>
      <c r="I119" s="122">
        <f t="shared" si="20"/>
        <v>28.507954655029607</v>
      </c>
      <c r="J119" s="122">
        <f t="shared" si="20"/>
        <v>415.61585508862663</v>
      </c>
      <c r="K119" s="122">
        <f t="shared" si="20"/>
        <v>43.906194261411656</v>
      </c>
    </row>
    <row r="120" spans="1:11" x14ac:dyDescent="0.55000000000000004">
      <c r="C120" s="27" t="s">
        <v>107</v>
      </c>
      <c r="E120" s="43">
        <f>E48</f>
        <v>3956</v>
      </c>
      <c r="F120" s="43">
        <f>F48</f>
        <v>4106</v>
      </c>
      <c r="G120" s="122">
        <f>IF($G$122=1,-2*G124*G19-G118,$G$126*2-G118)</f>
        <v>4105.8434090566334</v>
      </c>
      <c r="H120" s="122">
        <f t="shared" ref="H120:K120" si="21">IF($G$122=1,-2*H124*H19-H118,$G$126*2-H118)</f>
        <v>4506.0610245388743</v>
      </c>
      <c r="I120" s="122">
        <f t="shared" si="21"/>
        <v>4534.5689791939039</v>
      </c>
      <c r="J120" s="122">
        <f t="shared" si="21"/>
        <v>4950.1848342825306</v>
      </c>
      <c r="K120" s="122">
        <f t="shared" si="21"/>
        <v>4994.0910285439422</v>
      </c>
    </row>
    <row r="121" spans="1:11" x14ac:dyDescent="0.55000000000000004">
      <c r="C121" s="1"/>
      <c r="G121" s="17"/>
      <c r="H121" s="17"/>
      <c r="I121" s="17"/>
      <c r="J121" s="17"/>
      <c r="K121" s="17"/>
    </row>
    <row r="122" spans="1:11" x14ac:dyDescent="0.55000000000000004">
      <c r="C122" s="27" t="s">
        <v>236</v>
      </c>
      <c r="G122" s="110">
        <v>1</v>
      </c>
      <c r="H122" s="17"/>
      <c r="I122" s="17"/>
      <c r="J122" s="17"/>
      <c r="K122" s="17"/>
    </row>
    <row r="123" spans="1:11" x14ac:dyDescent="0.55000000000000004">
      <c r="C123" s="27"/>
      <c r="G123" s="17"/>
      <c r="H123" s="17"/>
      <c r="I123" s="17"/>
      <c r="J123" s="17"/>
      <c r="K123" s="17"/>
    </row>
    <row r="124" spans="1:11" x14ac:dyDescent="0.55000000000000004">
      <c r="C124" s="27" t="s">
        <v>237</v>
      </c>
      <c r="F124" s="113">
        <f>AVERAGE(E48:F48)/-F19</f>
        <v>2.4916245317773301E-2</v>
      </c>
      <c r="G124" s="92">
        <f>F124</f>
        <v>2.4916245317773301E-2</v>
      </c>
      <c r="H124" s="92">
        <f t="shared" ref="H124:K124" si="22">G124</f>
        <v>2.4916245317773301E-2</v>
      </c>
      <c r="I124" s="92">
        <f t="shared" si="22"/>
        <v>2.4916245317773301E-2</v>
      </c>
      <c r="J124" s="92">
        <f t="shared" si="22"/>
        <v>2.4916245317773301E-2</v>
      </c>
      <c r="K124" s="92">
        <f t="shared" si="22"/>
        <v>2.4916245317773301E-2</v>
      </c>
    </row>
    <row r="125" spans="1:11" x14ac:dyDescent="0.55000000000000004">
      <c r="C125" s="27" t="s">
        <v>238</v>
      </c>
      <c r="F125" s="114">
        <v>37.200000000000003</v>
      </c>
      <c r="G125" s="115">
        <v>43</v>
      </c>
      <c r="H125" s="115">
        <v>44</v>
      </c>
      <c r="I125" s="115">
        <v>45</v>
      </c>
      <c r="J125" s="115">
        <v>46</v>
      </c>
      <c r="K125" s="115">
        <v>47</v>
      </c>
    </row>
    <row r="126" spans="1:11" x14ac:dyDescent="0.55000000000000004">
      <c r="F126" s="112" t="s">
        <v>240</v>
      </c>
      <c r="G126" s="17">
        <f>-$G$19/$G$125</f>
        <v>3832.3009767441868</v>
      </c>
      <c r="H126" s="17"/>
      <c r="I126" s="17"/>
      <c r="J126" s="17"/>
      <c r="K126" s="17"/>
    </row>
    <row r="127" spans="1:11" x14ac:dyDescent="0.55000000000000004">
      <c r="C127" s="1" t="s">
        <v>241</v>
      </c>
      <c r="F127" s="17"/>
      <c r="G127" s="17"/>
      <c r="H127" s="17"/>
      <c r="I127" s="17"/>
      <c r="J127" s="17"/>
      <c r="K127" s="17"/>
    </row>
    <row r="128" spans="1:11" x14ac:dyDescent="0.55000000000000004">
      <c r="C128" t="s">
        <v>242</v>
      </c>
      <c r="F128" s="17"/>
      <c r="G128" s="120">
        <f>AVERAGE(F47:G47)/G18*365</f>
        <v>34</v>
      </c>
      <c r="H128" s="120">
        <f t="shared" ref="H128:K128" si="23">AVERAGE(G47:H47)/H18*365</f>
        <v>34</v>
      </c>
      <c r="I128" s="120">
        <f t="shared" si="23"/>
        <v>34</v>
      </c>
      <c r="J128" s="120">
        <f t="shared" si="23"/>
        <v>34</v>
      </c>
      <c r="K128" s="120">
        <f t="shared" si="23"/>
        <v>34</v>
      </c>
    </row>
    <row r="129" spans="3:11" x14ac:dyDescent="0.55000000000000004">
      <c r="C129" t="s">
        <v>243</v>
      </c>
      <c r="F129" s="17"/>
      <c r="G129" s="120">
        <f>G128+AVERAGE(F49:G49)/G18*365</f>
        <v>65.731375204871043</v>
      </c>
      <c r="H129" s="120">
        <f t="shared" ref="H129:K129" si="24">H128+AVERAGE(G49:H49)/H18*365</f>
        <v>65.325497905365779</v>
      </c>
      <c r="I129" s="120">
        <f t="shared" si="24"/>
        <v>65.334689976146734</v>
      </c>
      <c r="J129" s="120">
        <f t="shared" si="24"/>
        <v>65.344271632112822</v>
      </c>
      <c r="K129" s="120">
        <f t="shared" si="24"/>
        <v>65.354146164958038</v>
      </c>
    </row>
    <row r="130" spans="3:11" x14ac:dyDescent="0.55000000000000004">
      <c r="C130" t="s">
        <v>244</v>
      </c>
      <c r="F130" s="17"/>
      <c r="G130" s="120">
        <f>AVERAGE(F48:G48)/-G19*365</f>
        <v>9.0944295409872531</v>
      </c>
      <c r="H130" s="120">
        <f t="shared" ref="H130:K130" si="25">AVERAGE(G48:H48)/-H19*365</f>
        <v>9.0944295409872566</v>
      </c>
      <c r="I130" s="120">
        <f t="shared" si="25"/>
        <v>9.0944295409872549</v>
      </c>
      <c r="J130" s="120">
        <f t="shared" si="25"/>
        <v>9.0944295409872549</v>
      </c>
      <c r="K130" s="120">
        <f t="shared" si="25"/>
        <v>9.0944295409872549</v>
      </c>
    </row>
    <row r="131" spans="3:11" x14ac:dyDescent="0.55000000000000004">
      <c r="C131" s="1" t="s">
        <v>245</v>
      </c>
      <c r="F131" s="17"/>
      <c r="G131" s="121">
        <f>SUM(G129:G130)</f>
        <v>74.825804745858292</v>
      </c>
      <c r="H131" s="121">
        <f t="shared" ref="H131:K131" si="26">SUM(H129:H130)</f>
        <v>74.419927446353029</v>
      </c>
      <c r="I131" s="121">
        <f t="shared" si="26"/>
        <v>74.429119517133984</v>
      </c>
      <c r="J131" s="121">
        <f t="shared" si="26"/>
        <v>74.438701173100071</v>
      </c>
      <c r="K131" s="121">
        <f t="shared" si="26"/>
        <v>74.448575705945288</v>
      </c>
    </row>
    <row r="132" spans="3:11" x14ac:dyDescent="0.55000000000000004">
      <c r="F132" s="17"/>
      <c r="G132" s="119"/>
      <c r="H132" s="119"/>
      <c r="I132" s="119"/>
      <c r="J132" s="119"/>
      <c r="K132" s="119"/>
    </row>
    <row r="133" spans="3:11" x14ac:dyDescent="0.55000000000000004">
      <c r="C133" t="s">
        <v>246</v>
      </c>
      <c r="F133" s="17"/>
      <c r="G133" s="120">
        <f>365*AVERAGE(F55:G55)/-G19</f>
        <v>103.36235540375526</v>
      </c>
      <c r="H133" s="120">
        <f t="shared" ref="H133:K133" si="27">365*AVERAGE(G55:H55)/-H19</f>
        <v>101.89115200225773</v>
      </c>
      <c r="I133" s="120">
        <f t="shared" si="27"/>
        <v>101.8406811920962</v>
      </c>
      <c r="J133" s="120">
        <f t="shared" si="27"/>
        <v>101.87182247261555</v>
      </c>
      <c r="K133" s="120">
        <f t="shared" si="27"/>
        <v>101.90391563045998</v>
      </c>
    </row>
    <row r="134" spans="3:11" x14ac:dyDescent="0.55000000000000004">
      <c r="C134" s="1" t="s">
        <v>247</v>
      </c>
      <c r="F134" s="17"/>
      <c r="G134" s="120">
        <f>G131-G133</f>
        <v>-28.536550657896967</v>
      </c>
      <c r="H134" s="120">
        <f t="shared" ref="H134:K134" si="28">H131-H133</f>
        <v>-27.471224555904698</v>
      </c>
      <c r="I134" s="120">
        <f t="shared" si="28"/>
        <v>-27.411561674962215</v>
      </c>
      <c r="J134" s="120">
        <f t="shared" si="28"/>
        <v>-27.433121299515477</v>
      </c>
      <c r="K134" s="120">
        <f t="shared" si="28"/>
        <v>-27.455339924514689</v>
      </c>
    </row>
    <row r="135" spans="3:11" x14ac:dyDescent="0.55000000000000004">
      <c r="F135" s="17"/>
      <c r="G135" s="119"/>
      <c r="H135" s="119"/>
      <c r="I135" s="119"/>
      <c r="J135" s="119"/>
      <c r="K135" s="119"/>
    </row>
    <row r="136" spans="3:11" x14ac:dyDescent="0.55000000000000004">
      <c r="C136" t="s">
        <v>248</v>
      </c>
      <c r="F136" s="93">
        <f>F140/F141</f>
        <v>1.540125617208044</v>
      </c>
      <c r="G136" s="119"/>
      <c r="H136" s="119"/>
      <c r="I136" s="119"/>
      <c r="J136" s="119"/>
      <c r="K136" s="119"/>
    </row>
    <row r="137" spans="3:11" x14ac:dyDescent="0.55000000000000004">
      <c r="C137" t="s">
        <v>249</v>
      </c>
      <c r="F137" s="93">
        <f>SUM(F142:F143)/F141</f>
        <v>0.67888155281030671</v>
      </c>
      <c r="G137" s="119"/>
      <c r="H137" s="119"/>
      <c r="I137" s="119"/>
      <c r="J137" s="119"/>
      <c r="K137" s="119"/>
    </row>
    <row r="138" spans="3:11" x14ac:dyDescent="0.55000000000000004">
      <c r="C138" s="1"/>
      <c r="F138" s="17"/>
      <c r="G138" s="17"/>
      <c r="H138" s="17"/>
      <c r="I138" s="17"/>
      <c r="J138" s="17"/>
      <c r="K138" s="17"/>
    </row>
    <row r="139" spans="3:11" x14ac:dyDescent="0.55000000000000004">
      <c r="C139" s="4" t="s">
        <v>251</v>
      </c>
      <c r="F139" s="17"/>
      <c r="G139" s="17"/>
      <c r="H139" s="17"/>
      <c r="I139" s="17"/>
      <c r="J139" s="17"/>
      <c r="K139" s="17"/>
    </row>
    <row r="140" spans="3:11" x14ac:dyDescent="0.55000000000000004">
      <c r="C140" t="s">
        <v>252</v>
      </c>
      <c r="F140" s="74">
        <v>162819</v>
      </c>
      <c r="G140" s="17"/>
      <c r="H140" s="17"/>
      <c r="I140" s="17"/>
      <c r="J140" s="17"/>
      <c r="K140" s="17"/>
    </row>
    <row r="141" spans="3:11" x14ac:dyDescent="0.55000000000000004">
      <c r="C141" t="s">
        <v>253</v>
      </c>
      <c r="F141" s="74">
        <v>105718</v>
      </c>
      <c r="G141" s="17"/>
      <c r="H141" s="17"/>
      <c r="I141" s="17"/>
      <c r="J141" s="17"/>
      <c r="K141" s="17"/>
    </row>
    <row r="142" spans="3:11" x14ac:dyDescent="0.55000000000000004">
      <c r="C142" t="s">
        <v>254</v>
      </c>
      <c r="F142" s="74">
        <v>48844</v>
      </c>
      <c r="G142" s="17"/>
      <c r="H142" s="17"/>
      <c r="I142" s="17"/>
      <c r="J142" s="17"/>
      <c r="K142" s="17"/>
    </row>
    <row r="143" spans="3:11" x14ac:dyDescent="0.55000000000000004">
      <c r="C143" t="s">
        <v>255</v>
      </c>
      <c r="F143" s="74">
        <v>22926</v>
      </c>
      <c r="G143" s="17"/>
      <c r="H143" s="17"/>
      <c r="I143" s="17"/>
      <c r="J143" s="17"/>
      <c r="K143" s="17"/>
    </row>
    <row r="144" spans="3:11" x14ac:dyDescent="0.55000000000000004">
      <c r="F144" s="43"/>
    </row>
    <row r="145" spans="1:15" ht="14.7" thickBot="1" x14ac:dyDescent="0.6">
      <c r="A145" s="12" t="s">
        <v>31</v>
      </c>
      <c r="C145" s="36" t="s">
        <v>103</v>
      </c>
      <c r="D145" s="21"/>
      <c r="E145" s="21"/>
      <c r="F145" s="21"/>
      <c r="G145" s="21"/>
      <c r="H145" s="21"/>
      <c r="I145" s="21"/>
      <c r="J145" s="21"/>
      <c r="K145" s="21"/>
    </row>
    <row r="146" spans="1:15" x14ac:dyDescent="0.55000000000000004">
      <c r="C146" s="5" t="s">
        <v>8</v>
      </c>
      <c r="D146" s="24">
        <f>E146-1</f>
        <v>2017</v>
      </c>
      <c r="E146" s="24">
        <f>F146-1</f>
        <v>2018</v>
      </c>
      <c r="F146" s="24">
        <f>G146-1</f>
        <v>2019</v>
      </c>
      <c r="G146" s="25">
        <v>2020</v>
      </c>
      <c r="H146" s="25">
        <f>G146+1</f>
        <v>2021</v>
      </c>
      <c r="I146" s="25">
        <f>H146+1</f>
        <v>2022</v>
      </c>
      <c r="J146" s="25">
        <f>I146+1</f>
        <v>2023</v>
      </c>
      <c r="K146" s="25">
        <f>J146+1</f>
        <v>2024</v>
      </c>
    </row>
    <row r="147" spans="1:15" ht="14.7" thickBot="1" x14ac:dyDescent="0.6">
      <c r="C147" s="20" t="s">
        <v>9</v>
      </c>
      <c r="D147" s="37">
        <f>D16</f>
        <v>43008</v>
      </c>
      <c r="E147" s="37">
        <f>E16</f>
        <v>43373</v>
      </c>
      <c r="F147" s="37">
        <f>F16</f>
        <v>43736</v>
      </c>
      <c r="G147" s="37">
        <f>G16</f>
        <v>44104</v>
      </c>
      <c r="H147" s="37">
        <f>H16</f>
        <v>44469</v>
      </c>
      <c r="I147" s="37">
        <f>I16</f>
        <v>44834</v>
      </c>
      <c r="J147" s="37">
        <f>J16</f>
        <v>45199</v>
      </c>
      <c r="K147" s="37">
        <f>K16</f>
        <v>45565</v>
      </c>
    </row>
    <row r="148" spans="1:15" x14ac:dyDescent="0.55000000000000004">
      <c r="G148" s="29" t="s">
        <v>108</v>
      </c>
      <c r="H148" s="29"/>
      <c r="I148" s="29"/>
      <c r="J148" s="29"/>
      <c r="K148" s="29"/>
    </row>
    <row r="149" spans="1:15" x14ac:dyDescent="0.55000000000000004">
      <c r="C149" t="s">
        <v>104</v>
      </c>
      <c r="D149" s="16"/>
      <c r="E149" s="16"/>
      <c r="F149" s="16"/>
      <c r="G149" s="74">
        <f>F152</f>
        <v>37378</v>
      </c>
      <c r="H149" s="74">
        <f>G152</f>
        <v>43279.142857142855</v>
      </c>
      <c r="I149" s="74">
        <f>H152</f>
        <v>49032.714285714283</v>
      </c>
      <c r="J149" s="74">
        <f>I152</f>
        <v>54585.079492170866</v>
      </c>
      <c r="K149" s="74">
        <f>J152</f>
        <v>59521.062936988528</v>
      </c>
      <c r="O149" t="s">
        <v>109</v>
      </c>
    </row>
    <row r="150" spans="1:15" x14ac:dyDescent="0.55000000000000004">
      <c r="C150" s="27" t="s">
        <v>105</v>
      </c>
      <c r="D150" s="16">
        <v>12451</v>
      </c>
      <c r="E150" s="16">
        <v>13313</v>
      </c>
      <c r="F150" s="16">
        <v>10495</v>
      </c>
      <c r="G150" s="16">
        <v>13649</v>
      </c>
      <c r="H150" s="16">
        <v>13819</v>
      </c>
      <c r="I150" s="16">
        <f>H150*(1+I37)</f>
        <v>14506.949883723155</v>
      </c>
      <c r="J150" s="16">
        <f>I150*(1+J37)</f>
        <v>15219.608387329563</v>
      </c>
      <c r="K150" s="16">
        <f>J150*(1+K37)</f>
        <v>15956.975510819226</v>
      </c>
      <c r="O150" t="s">
        <v>110</v>
      </c>
    </row>
    <row r="151" spans="1:15" x14ac:dyDescent="0.55000000000000004">
      <c r="C151" s="27" t="s">
        <v>106</v>
      </c>
      <c r="D151" s="16">
        <v>-8200</v>
      </c>
      <c r="E151" s="16">
        <v>-9300</v>
      </c>
      <c r="F151" s="16">
        <v>-11300</v>
      </c>
      <c r="G151" s="122">
        <f>-G172</f>
        <v>-7747.8571428571431</v>
      </c>
      <c r="H151" s="122">
        <f t="shared" ref="H151:K151" si="29">-H172</f>
        <v>-8065.4285714285716</v>
      </c>
      <c r="I151" s="122">
        <f t="shared" si="29"/>
        <v>-8954.5846772665736</v>
      </c>
      <c r="J151" s="122">
        <f t="shared" si="29"/>
        <v>-10283.624942511904</v>
      </c>
      <c r="K151" s="122">
        <f t="shared" si="29"/>
        <v>-11959.486083790951</v>
      </c>
      <c r="O151" t="s">
        <v>256</v>
      </c>
    </row>
    <row r="152" spans="1:15" x14ac:dyDescent="0.55000000000000004">
      <c r="C152" s="28" t="s">
        <v>107</v>
      </c>
      <c r="D152" s="33"/>
      <c r="E152" s="33">
        <f>E51</f>
        <v>41304</v>
      </c>
      <c r="F152" s="33">
        <f>F51</f>
        <v>37378</v>
      </c>
      <c r="G152" s="33">
        <f>SUM(G149:G151)</f>
        <v>43279.142857142855</v>
      </c>
      <c r="H152" s="33">
        <f>SUM(H149:H151)</f>
        <v>49032.714285714283</v>
      </c>
      <c r="I152" s="33">
        <f>SUM(I149:I151)</f>
        <v>54585.079492170866</v>
      </c>
      <c r="J152" s="33">
        <f>SUM(J149:J151)</f>
        <v>59521.062936988528</v>
      </c>
      <c r="K152" s="33">
        <f>SUM(K149:K151)</f>
        <v>63518.552364016796</v>
      </c>
      <c r="O152" t="s">
        <v>111</v>
      </c>
    </row>
    <row r="153" spans="1:15" x14ac:dyDescent="0.55000000000000004">
      <c r="G153" t="s">
        <v>119</v>
      </c>
      <c r="O153" s="77" t="s">
        <v>112</v>
      </c>
    </row>
    <row r="154" spans="1:15" x14ac:dyDescent="0.55000000000000004">
      <c r="C154" t="s">
        <v>113</v>
      </c>
      <c r="D154" s="32">
        <f>ABS(D151/D150)</f>
        <v>0.6585816400289134</v>
      </c>
      <c r="E154" s="32">
        <f>ABS(E151/E150)</f>
        <v>0.69856531210095396</v>
      </c>
      <c r="F154" s="32">
        <f>ABS(F151/F150)</f>
        <v>1.0767031919961887</v>
      </c>
      <c r="G154" s="32">
        <f>E154+$O$154</f>
        <v>0.71856531210095398</v>
      </c>
      <c r="H154" s="32">
        <f>G154+$O$154</f>
        <v>0.738565312100954</v>
      </c>
      <c r="I154" s="32">
        <f>H154+$O$154</f>
        <v>0.75856531210095401</v>
      </c>
      <c r="J154" s="32">
        <f>I154+$O$154</f>
        <v>0.77856531210095403</v>
      </c>
      <c r="K154" s="32">
        <f>J154+$O$154</f>
        <v>0.79856531210095405</v>
      </c>
      <c r="O154" s="76">
        <v>0.02</v>
      </c>
    </row>
    <row r="155" spans="1:15" x14ac:dyDescent="0.55000000000000004">
      <c r="D155" s="32"/>
      <c r="E155" s="32"/>
      <c r="F155" s="32"/>
      <c r="G155" s="32"/>
      <c r="H155" s="32"/>
      <c r="I155" s="32"/>
      <c r="J155" s="32"/>
      <c r="K155" s="32"/>
      <c r="O155" s="76"/>
    </row>
    <row r="156" spans="1:15" x14ac:dyDescent="0.55000000000000004">
      <c r="C156" s="1" t="s">
        <v>257</v>
      </c>
      <c r="D156" s="32"/>
      <c r="E156" s="32"/>
      <c r="F156" s="32"/>
      <c r="G156" s="32"/>
      <c r="H156" s="32"/>
      <c r="I156" s="32"/>
      <c r="J156" s="32"/>
      <c r="K156" s="32"/>
      <c r="O156" s="76"/>
    </row>
    <row r="157" spans="1:15" x14ac:dyDescent="0.55000000000000004">
      <c r="C157" s="71" t="s">
        <v>258</v>
      </c>
      <c r="D157" s="32"/>
      <c r="E157" s="32"/>
      <c r="F157" s="32"/>
      <c r="G157" s="32"/>
      <c r="H157" s="32"/>
      <c r="I157" s="32"/>
      <c r="J157" s="32"/>
      <c r="K157" s="32"/>
      <c r="O157" s="76"/>
    </row>
    <row r="158" spans="1:15" x14ac:dyDescent="0.55000000000000004">
      <c r="C158" s="27" t="s">
        <v>259</v>
      </c>
      <c r="D158" s="32"/>
      <c r="E158" s="128">
        <v>90403</v>
      </c>
      <c r="F158" s="128">
        <v>95957</v>
      </c>
      <c r="G158" s="127" t="s">
        <v>267</v>
      </c>
      <c r="H158" s="32"/>
      <c r="I158" s="32"/>
      <c r="J158" s="32"/>
      <c r="K158" s="32"/>
      <c r="O158" s="76"/>
    </row>
    <row r="159" spans="1:15" x14ac:dyDescent="0.55000000000000004">
      <c r="C159" s="27" t="s">
        <v>260</v>
      </c>
      <c r="D159" s="32"/>
      <c r="E159" s="128">
        <v>16216</v>
      </c>
      <c r="F159" s="128">
        <v>17085</v>
      </c>
      <c r="G159" s="127" t="s">
        <v>267</v>
      </c>
      <c r="H159" s="32"/>
      <c r="I159" s="32"/>
      <c r="J159" s="32"/>
      <c r="K159" s="32"/>
      <c r="O159" s="76"/>
    </row>
    <row r="160" spans="1:15" x14ac:dyDescent="0.55000000000000004">
      <c r="C160" s="27" t="s">
        <v>261</v>
      </c>
      <c r="D160" s="32"/>
      <c r="E160" s="128">
        <f>-(E158-E159-E161)</f>
        <v>-49099</v>
      </c>
      <c r="F160" s="128">
        <f>-(F158-F159-F161)</f>
        <v>-58579</v>
      </c>
      <c r="G160" s="32"/>
      <c r="H160" s="32"/>
      <c r="I160" s="32"/>
      <c r="J160" s="32"/>
      <c r="K160" s="32"/>
      <c r="O160" s="76"/>
    </row>
    <row r="161" spans="1:15" x14ac:dyDescent="0.55000000000000004">
      <c r="C161" s="27" t="s">
        <v>262</v>
      </c>
      <c r="D161" s="32"/>
      <c r="E161" s="128">
        <f>E51-E159</f>
        <v>25088</v>
      </c>
      <c r="F161" s="128">
        <f>F51-F159</f>
        <v>20293</v>
      </c>
      <c r="G161" s="32"/>
      <c r="H161" s="32"/>
      <c r="I161" s="32"/>
      <c r="J161" s="32"/>
      <c r="K161" s="32"/>
      <c r="O161" s="76"/>
    </row>
    <row r="162" spans="1:15" x14ac:dyDescent="0.55000000000000004">
      <c r="C162" s="27"/>
      <c r="D162" s="32"/>
      <c r="E162" s="32"/>
      <c r="F162" s="32"/>
      <c r="G162" s="32"/>
      <c r="H162" s="32"/>
      <c r="I162" s="32"/>
      <c r="J162" s="32"/>
      <c r="K162" s="32"/>
      <c r="O162" s="76"/>
    </row>
    <row r="163" spans="1:15" x14ac:dyDescent="0.55000000000000004">
      <c r="C163" s="71" t="s">
        <v>263</v>
      </c>
      <c r="D163" s="129">
        <f>-ROUND((F158-F159)/F151,0)</f>
        <v>7</v>
      </c>
      <c r="E163" s="32"/>
      <c r="F163" s="32"/>
      <c r="G163" s="32"/>
      <c r="H163" s="32"/>
      <c r="I163" s="32"/>
      <c r="J163" s="32"/>
      <c r="K163" s="32"/>
      <c r="O163" s="76"/>
    </row>
    <row r="164" spans="1:15" x14ac:dyDescent="0.55000000000000004">
      <c r="C164" s="71" t="s">
        <v>264</v>
      </c>
      <c r="D164" s="131">
        <f>IF(D163,D163,-ROUND((F158-F159)/F151,0))</f>
        <v>7</v>
      </c>
      <c r="E164" s="32"/>
      <c r="F164" s="32"/>
      <c r="G164" s="32"/>
      <c r="H164" s="32"/>
      <c r="I164" s="32"/>
      <c r="J164" s="32"/>
      <c r="K164" s="32"/>
      <c r="O164" s="76"/>
    </row>
    <row r="165" spans="1:15" x14ac:dyDescent="0.55000000000000004">
      <c r="C165" s="27"/>
      <c r="D165" s="32"/>
      <c r="E165" s="32"/>
      <c r="F165" s="32"/>
      <c r="G165" s="32"/>
      <c r="H165" s="32"/>
      <c r="I165" s="32"/>
      <c r="J165" s="32"/>
      <c r="K165" s="32"/>
      <c r="O165" s="76"/>
    </row>
    <row r="166" spans="1:15" x14ac:dyDescent="0.55000000000000004">
      <c r="C166" s="71" t="s">
        <v>265</v>
      </c>
      <c r="D166" s="32"/>
      <c r="E166" s="130" t="s">
        <v>268</v>
      </c>
      <c r="F166" s="32"/>
      <c r="G166" s="85">
        <f>DDB($F$161,0,$D$164,G146-$F$146)</f>
        <v>5798</v>
      </c>
      <c r="H166" s="85">
        <f>DDB($F$161,0,$D$164,H146-$F$146)</f>
        <v>4141.4285714285716</v>
      </c>
      <c r="I166" s="85">
        <f t="shared" ref="I166:K166" si="30">DDB($F$161,0,$D$164,I146-$F$146)</f>
        <v>2958.1632653061224</v>
      </c>
      <c r="J166" s="85">
        <f t="shared" si="30"/>
        <v>2112.9737609329445</v>
      </c>
      <c r="K166" s="85">
        <f t="shared" si="30"/>
        <v>1509.2669720949605</v>
      </c>
      <c r="O166" s="76"/>
    </row>
    <row r="167" spans="1:15" x14ac:dyDescent="0.55000000000000004">
      <c r="C167" s="125">
        <v>2020</v>
      </c>
      <c r="D167" s="32"/>
      <c r="E167" s="132">
        <v>1</v>
      </c>
      <c r="F167" s="32"/>
      <c r="G167" s="85">
        <f>$E$167*$G$150/$D$164</f>
        <v>1949.8571428571429</v>
      </c>
      <c r="H167" s="85">
        <f t="shared" ref="H167:K167" si="31">$E$167*$G$150/$D$164</f>
        <v>1949.8571428571429</v>
      </c>
      <c r="I167" s="85">
        <f t="shared" si="31"/>
        <v>1949.8571428571429</v>
      </c>
      <c r="J167" s="85">
        <f t="shared" si="31"/>
        <v>1949.8571428571429</v>
      </c>
      <c r="K167" s="85">
        <f t="shared" si="31"/>
        <v>1949.8571428571429</v>
      </c>
      <c r="O167" s="76"/>
    </row>
    <row r="168" spans="1:15" x14ac:dyDescent="0.55000000000000004">
      <c r="C168" s="125">
        <f>C167+1</f>
        <v>2021</v>
      </c>
      <c r="D168" s="32"/>
      <c r="E168" s="32"/>
      <c r="F168" s="32"/>
      <c r="G168" s="85"/>
      <c r="H168" s="85">
        <f>$E$167*$H$150/$D$164</f>
        <v>1974.1428571428571</v>
      </c>
      <c r="I168" s="85">
        <f t="shared" ref="I168:K168" si="32">$E$167*$H$150/$D$164</f>
        <v>1974.1428571428571</v>
      </c>
      <c r="J168" s="85">
        <f t="shared" si="32"/>
        <v>1974.1428571428571</v>
      </c>
      <c r="K168" s="85">
        <f t="shared" si="32"/>
        <v>1974.1428571428571</v>
      </c>
      <c r="O168" s="76"/>
    </row>
    <row r="169" spans="1:15" x14ac:dyDescent="0.55000000000000004">
      <c r="C169" s="125">
        <f t="shared" ref="C169:C171" si="33">C168+1</f>
        <v>2022</v>
      </c>
      <c r="D169" s="32"/>
      <c r="E169" s="32"/>
      <c r="F169" s="32"/>
      <c r="G169" s="85"/>
      <c r="H169" s="85"/>
      <c r="I169" s="85">
        <f>$E$167*$I$150/$D$164</f>
        <v>2072.4214119604508</v>
      </c>
      <c r="J169" s="85">
        <f t="shared" ref="J169:K169" si="34">$E$167*$I$150/$D$164</f>
        <v>2072.4214119604508</v>
      </c>
      <c r="K169" s="85">
        <f t="shared" si="34"/>
        <v>2072.4214119604508</v>
      </c>
      <c r="O169" s="76"/>
    </row>
    <row r="170" spans="1:15" x14ac:dyDescent="0.55000000000000004">
      <c r="C170" s="125">
        <f t="shared" si="33"/>
        <v>2023</v>
      </c>
      <c r="D170" s="32"/>
      <c r="E170" s="32"/>
      <c r="F170" s="32"/>
      <c r="G170" s="85"/>
      <c r="H170" s="85"/>
      <c r="I170" s="85"/>
      <c r="J170" s="85">
        <f>$E$167*$J$150/$D$164</f>
        <v>2174.2297696185092</v>
      </c>
      <c r="K170" s="85">
        <f>$E$167*$J$150/$D$164</f>
        <v>2174.2297696185092</v>
      </c>
      <c r="O170" s="76"/>
    </row>
    <row r="171" spans="1:15" x14ac:dyDescent="0.55000000000000004">
      <c r="C171" s="125">
        <f t="shared" si="33"/>
        <v>2024</v>
      </c>
      <c r="D171" s="32"/>
      <c r="E171" s="32"/>
      <c r="F171" s="32"/>
      <c r="G171" s="85"/>
      <c r="H171" s="85"/>
      <c r="I171" s="85"/>
      <c r="J171" s="85"/>
      <c r="K171" s="85">
        <f>$E$167*$K$150/$D$164</f>
        <v>2279.5679301170321</v>
      </c>
      <c r="O171" s="76"/>
    </row>
    <row r="172" spans="1:15" x14ac:dyDescent="0.55000000000000004">
      <c r="C172" s="126" t="s">
        <v>266</v>
      </c>
      <c r="D172" s="32"/>
      <c r="E172" s="32"/>
      <c r="F172" s="32"/>
      <c r="G172" s="84">
        <f>SUM(G166:G171)</f>
        <v>7747.8571428571431</v>
      </c>
      <c r="H172" s="84">
        <f t="shared" ref="H172:K172" si="35">SUM(H166:H171)</f>
        <v>8065.4285714285716</v>
      </c>
      <c r="I172" s="84">
        <f t="shared" si="35"/>
        <v>8954.5846772665736</v>
      </c>
      <c r="J172" s="84">
        <f t="shared" si="35"/>
        <v>10283.624942511904</v>
      </c>
      <c r="K172" s="84">
        <f t="shared" si="35"/>
        <v>11959.486083790951</v>
      </c>
      <c r="O172" s="76"/>
    </row>
    <row r="173" spans="1:15" x14ac:dyDescent="0.55000000000000004">
      <c r="C173" s="27"/>
      <c r="D173" s="32"/>
      <c r="E173" s="32"/>
      <c r="F173" s="32"/>
      <c r="G173" s="32"/>
      <c r="H173" s="32"/>
      <c r="I173" s="32"/>
      <c r="J173" s="32"/>
      <c r="K173" s="32"/>
      <c r="O173" s="76"/>
    </row>
    <row r="174" spans="1:15" ht="14.7" thickBot="1" x14ac:dyDescent="0.6">
      <c r="A174" s="12" t="s">
        <v>31</v>
      </c>
      <c r="C174" s="36" t="s">
        <v>115</v>
      </c>
      <c r="D174" s="21"/>
      <c r="E174" s="21"/>
      <c r="F174" s="21"/>
      <c r="G174" s="21"/>
      <c r="H174" s="21"/>
      <c r="I174" s="21"/>
      <c r="J174" s="21"/>
      <c r="K174" s="21"/>
    </row>
    <row r="175" spans="1:15" x14ac:dyDescent="0.55000000000000004">
      <c r="C175" t="s">
        <v>116</v>
      </c>
      <c r="D175" s="34">
        <f>D31+D151</f>
        <v>1957</v>
      </c>
      <c r="E175" s="34">
        <f>E31+E151</f>
        <v>1603</v>
      </c>
      <c r="F175" s="34">
        <f>F31+F151</f>
        <v>1247</v>
      </c>
      <c r="G175" s="34">
        <f>G18*G176</f>
        <v>1275.9685671896502</v>
      </c>
      <c r="H175" s="34">
        <f>H18*H176</f>
        <v>1340.2959102258803</v>
      </c>
      <c r="I175" s="34">
        <f>I18*I176</f>
        <v>1407.0197263916316</v>
      </c>
      <c r="J175" s="34">
        <f>J18*J176</f>
        <v>1476.1400156869038</v>
      </c>
      <c r="K175" s="34">
        <f>K18*K176</f>
        <v>1547.6567781116969</v>
      </c>
      <c r="O175" t="s">
        <v>120</v>
      </c>
    </row>
    <row r="176" spans="1:15" x14ac:dyDescent="0.55000000000000004">
      <c r="C176" s="27" t="s">
        <v>117</v>
      </c>
      <c r="D176" s="32">
        <f>D175/D18</f>
        <v>8.537128000209393E-3</v>
      </c>
      <c r="E176" s="32">
        <f>E175/E18</f>
        <v>6.0355051864681188E-3</v>
      </c>
      <c r="F176" s="32">
        <f>F175/F18</f>
        <v>4.7929462590420259E-3</v>
      </c>
      <c r="G176" s="32">
        <f>F176</f>
        <v>4.7929462590420259E-3</v>
      </c>
      <c r="H176" s="32">
        <f>G176</f>
        <v>4.7929462590420259E-3</v>
      </c>
      <c r="I176" s="32">
        <f>H176</f>
        <v>4.7929462590420259E-3</v>
      </c>
      <c r="J176" s="32">
        <f>I176</f>
        <v>4.7929462590420259E-3</v>
      </c>
      <c r="K176" s="32">
        <f>J176</f>
        <v>4.7929462590420259E-3</v>
      </c>
      <c r="O176" t="s">
        <v>121</v>
      </c>
    </row>
    <row r="177" spans="1:15" x14ac:dyDescent="0.55000000000000004">
      <c r="C177" s="1" t="s">
        <v>118</v>
      </c>
      <c r="D177" s="40">
        <f>D31</f>
        <v>10157</v>
      </c>
      <c r="E177" s="40">
        <f>E31</f>
        <v>10903</v>
      </c>
      <c r="F177" s="40">
        <f>F31</f>
        <v>12547</v>
      </c>
      <c r="G177" s="40">
        <f>G175-G151</f>
        <v>9023.8257100467927</v>
      </c>
      <c r="H177" s="40">
        <f>H175-H151</f>
        <v>9405.7244816544517</v>
      </c>
      <c r="I177" s="40">
        <f>I175-I151</f>
        <v>10361.604403658206</v>
      </c>
      <c r="J177" s="40">
        <f>J175-J151</f>
        <v>11759.764958198808</v>
      </c>
      <c r="K177" s="40">
        <f>K175-K151</f>
        <v>13507.142861902648</v>
      </c>
      <c r="O177" t="s">
        <v>122</v>
      </c>
    </row>
    <row r="178" spans="1:15" x14ac:dyDescent="0.55000000000000004">
      <c r="F178" s="34"/>
    </row>
    <row r="179" spans="1:15" ht="14.7" thickBot="1" x14ac:dyDescent="0.6">
      <c r="C179" s="36" t="s">
        <v>125</v>
      </c>
      <c r="D179" s="21"/>
      <c r="E179" s="21"/>
      <c r="F179" s="21"/>
      <c r="G179" s="21"/>
      <c r="H179" s="21"/>
      <c r="I179" s="21"/>
      <c r="J179" s="21"/>
      <c r="K179" s="21"/>
    </row>
    <row r="180" spans="1:15" x14ac:dyDescent="0.55000000000000004">
      <c r="C180" t="s">
        <v>104</v>
      </c>
      <c r="D180" s="34"/>
      <c r="E180" s="34"/>
      <c r="F180" s="34">
        <f t="shared" ref="F180:K180" si="36">E183</f>
        <v>22283</v>
      </c>
      <c r="G180" s="34">
        <f t="shared" si="36"/>
        <v>32978</v>
      </c>
      <c r="H180" s="34">
        <f t="shared" si="36"/>
        <v>33744.098964539124</v>
      </c>
      <c r="I180" s="34">
        <f t="shared" si="36"/>
        <v>35445.291521595092</v>
      </c>
      <c r="J180" s="34">
        <f t="shared" si="36"/>
        <v>37209.860895704267</v>
      </c>
      <c r="K180" s="34">
        <f t="shared" si="36"/>
        <v>39037.80708686664</v>
      </c>
      <c r="O180" t="s">
        <v>109</v>
      </c>
    </row>
    <row r="181" spans="1:15" x14ac:dyDescent="0.55000000000000004">
      <c r="C181" s="27" t="s">
        <v>126</v>
      </c>
      <c r="D181" s="34"/>
      <c r="E181" s="34">
        <f t="shared" ref="E181:K181" si="37">-E175</f>
        <v>-1603</v>
      </c>
      <c r="F181" s="34">
        <f t="shared" si="37"/>
        <v>-1247</v>
      </c>
      <c r="G181" s="34">
        <f t="shared" si="37"/>
        <v>-1275.9685671896502</v>
      </c>
      <c r="H181" s="34">
        <f t="shared" si="37"/>
        <v>-1340.2959102258803</v>
      </c>
      <c r="I181" s="34">
        <f t="shared" si="37"/>
        <v>-1407.0197263916316</v>
      </c>
      <c r="J181" s="34">
        <f t="shared" si="37"/>
        <v>-1476.1400156869038</v>
      </c>
      <c r="K181" s="34">
        <f t="shared" si="37"/>
        <v>-1547.6567781116969</v>
      </c>
      <c r="O181" t="s">
        <v>130</v>
      </c>
    </row>
    <row r="182" spans="1:15" x14ac:dyDescent="0.55000000000000004">
      <c r="C182" s="27" t="s">
        <v>127</v>
      </c>
      <c r="D182" s="34"/>
      <c r="E182" s="34">
        <f t="shared" ref="E182:K182" si="38">E183-E180-E181</f>
        <v>23886</v>
      </c>
      <c r="F182" s="34">
        <f t="shared" si="38"/>
        <v>11942</v>
      </c>
      <c r="G182" s="34">
        <f t="shared" si="38"/>
        <v>2042.0675317287739</v>
      </c>
      <c r="H182" s="34">
        <f t="shared" si="38"/>
        <v>3041.4884672818489</v>
      </c>
      <c r="I182" s="34">
        <f t="shared" si="38"/>
        <v>3171.5891005008061</v>
      </c>
      <c r="J182" s="34">
        <f t="shared" si="38"/>
        <v>3304.086206849277</v>
      </c>
      <c r="K182" s="34">
        <f t="shared" si="38"/>
        <v>3438.9797863272756</v>
      </c>
      <c r="O182" t="s">
        <v>131</v>
      </c>
    </row>
    <row r="183" spans="1:15" x14ac:dyDescent="0.55000000000000004">
      <c r="C183" s="28" t="s">
        <v>107</v>
      </c>
      <c r="D183" s="39"/>
      <c r="E183" s="39">
        <f>E52</f>
        <v>22283</v>
      </c>
      <c r="F183" s="39">
        <f>F52</f>
        <v>32978</v>
      </c>
      <c r="G183" s="39">
        <f>G52</f>
        <v>33744.098964539124</v>
      </c>
      <c r="H183" s="39">
        <f>H52</f>
        <v>35445.291521595092</v>
      </c>
      <c r="I183" s="39">
        <f>I52</f>
        <v>37209.860895704267</v>
      </c>
      <c r="J183" s="39">
        <f>J52</f>
        <v>39037.80708686664</v>
      </c>
      <c r="K183" s="39">
        <f>K52</f>
        <v>40929.130095082219</v>
      </c>
      <c r="O183" t="s">
        <v>128</v>
      </c>
    </row>
    <row r="185" spans="1:15" ht="14.7" thickBot="1" x14ac:dyDescent="0.6">
      <c r="A185" s="12" t="s">
        <v>31</v>
      </c>
      <c r="C185" s="36" t="s">
        <v>132</v>
      </c>
      <c r="D185" s="21"/>
      <c r="E185" s="21"/>
      <c r="F185" s="35"/>
      <c r="G185" s="35"/>
      <c r="H185" s="35"/>
      <c r="I185" s="35"/>
      <c r="J185" s="35"/>
      <c r="K185" s="35"/>
    </row>
    <row r="186" spans="1:15" x14ac:dyDescent="0.55000000000000004">
      <c r="C186" t="s">
        <v>104</v>
      </c>
      <c r="D186" s="34"/>
      <c r="E186" s="34"/>
      <c r="F186" s="34"/>
      <c r="G186" s="34">
        <f>F190</f>
        <v>45898</v>
      </c>
      <c r="H186" s="34">
        <f ca="1">G190</f>
        <v>20623.294384604989</v>
      </c>
      <c r="I186" s="34">
        <f ca="1">H190</f>
        <v>-1984.2401473187783</v>
      </c>
      <c r="J186" s="34">
        <f ca="1">I190</f>
        <v>-22029.598568718422</v>
      </c>
      <c r="K186" s="34">
        <f ca="1">J190</f>
        <v>-39344.529960286294</v>
      </c>
      <c r="O186" t="s">
        <v>109</v>
      </c>
    </row>
    <row r="187" spans="1:15" x14ac:dyDescent="0.55000000000000004">
      <c r="C187" s="27" t="s">
        <v>133</v>
      </c>
      <c r="D187" s="34">
        <f>D29</f>
        <v>48351</v>
      </c>
      <c r="E187" s="34">
        <f>E29</f>
        <v>59531</v>
      </c>
      <c r="F187" s="34">
        <f>F29</f>
        <v>55256</v>
      </c>
      <c r="G187" s="34">
        <f ca="1">G29</f>
        <v>55955.294384606859</v>
      </c>
      <c r="H187" s="34">
        <f ca="1">H29</f>
        <v>58622.465468099552</v>
      </c>
      <c r="I187" s="34">
        <f ca="1">I29</f>
        <v>61184.641578951305</v>
      </c>
      <c r="J187" s="34">
        <f ca="1">J29</f>
        <v>63915.068611200782</v>
      </c>
      <c r="K187" s="34">
        <f ca="1">K29</f>
        <v>66822.552703754292</v>
      </c>
      <c r="O187" t="s">
        <v>129</v>
      </c>
    </row>
    <row r="188" spans="1:15" x14ac:dyDescent="0.55000000000000004">
      <c r="C188" s="27" t="s">
        <v>134</v>
      </c>
      <c r="D188" s="11">
        <f t="shared" ref="D188:F189" si="39">D73</f>
        <v>-12803</v>
      </c>
      <c r="E188" s="11">
        <f t="shared" si="39"/>
        <v>-13735</v>
      </c>
      <c r="F188" s="11">
        <f t="shared" si="39"/>
        <v>-14129</v>
      </c>
      <c r="G188" s="34">
        <f t="shared" ref="G188:K189" si="40">F188</f>
        <v>-14129</v>
      </c>
      <c r="H188" s="34">
        <f t="shared" si="40"/>
        <v>-14129</v>
      </c>
      <c r="I188" s="34">
        <f t="shared" si="40"/>
        <v>-14129</v>
      </c>
      <c r="J188" s="34">
        <f t="shared" si="40"/>
        <v>-14129</v>
      </c>
      <c r="K188" s="34">
        <f t="shared" si="40"/>
        <v>-14129</v>
      </c>
      <c r="O188" t="s">
        <v>136</v>
      </c>
    </row>
    <row r="189" spans="1:15" x14ac:dyDescent="0.55000000000000004">
      <c r="C189" s="27" t="s">
        <v>135</v>
      </c>
      <c r="D189" s="11">
        <f t="shared" si="39"/>
        <v>-33001</v>
      </c>
      <c r="E189" s="11">
        <f t="shared" si="39"/>
        <v>-73056</v>
      </c>
      <c r="F189" s="11">
        <f t="shared" si="39"/>
        <v>-67101</v>
      </c>
      <c r="G189" s="34">
        <f t="shared" si="40"/>
        <v>-67101</v>
      </c>
      <c r="H189" s="34">
        <f t="shared" si="40"/>
        <v>-67101</v>
      </c>
      <c r="I189" s="34">
        <f t="shared" si="40"/>
        <v>-67101</v>
      </c>
      <c r="J189" s="34">
        <f t="shared" si="40"/>
        <v>-67101</v>
      </c>
      <c r="K189" s="34">
        <f t="shared" si="40"/>
        <v>-67101</v>
      </c>
      <c r="O189" t="s">
        <v>137</v>
      </c>
    </row>
    <row r="190" spans="1:15" x14ac:dyDescent="0.55000000000000004">
      <c r="C190" s="13" t="s">
        <v>107</v>
      </c>
      <c r="D190" s="39">
        <f>D64</f>
        <v>0</v>
      </c>
      <c r="E190" s="39">
        <f>E64</f>
        <v>70400</v>
      </c>
      <c r="F190" s="39">
        <f>F64</f>
        <v>45898</v>
      </c>
      <c r="G190" s="39">
        <f ca="1">SUM(G186:G189)</f>
        <v>20623.294384606852</v>
      </c>
      <c r="H190" s="39">
        <f ca="1">SUM(H186:H189)</f>
        <v>-1984.2401472954662</v>
      </c>
      <c r="I190" s="39">
        <f ca="1">SUM(I186:I189)</f>
        <v>-22029.598568367473</v>
      </c>
      <c r="J190" s="39">
        <f ca="1">SUM(J186:J189)</f>
        <v>-39344.52995751764</v>
      </c>
      <c r="K190" s="39">
        <f ca="1">SUM(K186:K189)</f>
        <v>-53751.977256532002</v>
      </c>
      <c r="O190" t="s">
        <v>138</v>
      </c>
    </row>
    <row r="192" spans="1:15" ht="14.7" thickBot="1" x14ac:dyDescent="0.6">
      <c r="A192" s="12" t="s">
        <v>31</v>
      </c>
      <c r="C192" s="36" t="s">
        <v>140</v>
      </c>
      <c r="D192" s="21"/>
      <c r="E192" s="21"/>
      <c r="F192" s="35"/>
      <c r="G192" s="35"/>
      <c r="H192" s="35"/>
      <c r="I192" s="35"/>
      <c r="J192" s="35"/>
      <c r="K192" s="35"/>
    </row>
    <row r="193" spans="3:15" x14ac:dyDescent="0.55000000000000004">
      <c r="C193" s="5" t="s">
        <v>8</v>
      </c>
      <c r="D193" s="24">
        <f>E193-1</f>
        <v>2017</v>
      </c>
      <c r="E193" s="24">
        <f>F193-1</f>
        <v>2018</v>
      </c>
      <c r="F193" s="24">
        <f>G193-1</f>
        <v>2019</v>
      </c>
      <c r="G193" s="25">
        <v>2020</v>
      </c>
      <c r="H193" s="25">
        <f>G193+1</f>
        <v>2021</v>
      </c>
      <c r="I193" s="25">
        <f>H193+1</f>
        <v>2022</v>
      </c>
      <c r="J193" s="25">
        <f>I193+1</f>
        <v>2023</v>
      </c>
      <c r="K193" s="25">
        <f>J193+1</f>
        <v>2024</v>
      </c>
    </row>
    <row r="194" spans="3:15" ht="14.7" thickBot="1" x14ac:dyDescent="0.6">
      <c r="C194" s="20" t="s">
        <v>9</v>
      </c>
      <c r="D194" s="37">
        <f>D16</f>
        <v>43008</v>
      </c>
      <c r="E194" s="37">
        <f>E16</f>
        <v>43373</v>
      </c>
      <c r="F194" s="37">
        <f>F16</f>
        <v>43736</v>
      </c>
      <c r="G194" s="37">
        <f>G16</f>
        <v>44104</v>
      </c>
      <c r="H194" s="37">
        <f>H16</f>
        <v>44469</v>
      </c>
      <c r="I194" s="37">
        <f>I16</f>
        <v>44834</v>
      </c>
      <c r="J194" s="37">
        <f>J16</f>
        <v>45199</v>
      </c>
      <c r="K194" s="37">
        <f>K16</f>
        <v>45565</v>
      </c>
    </row>
    <row r="196" spans="3:15" x14ac:dyDescent="0.55000000000000004">
      <c r="C196" s="4" t="s">
        <v>142</v>
      </c>
    </row>
    <row r="197" spans="3:15" x14ac:dyDescent="0.55000000000000004">
      <c r="C197" s="27" t="s">
        <v>143</v>
      </c>
      <c r="G197" s="43">
        <f>F46</f>
        <v>205898</v>
      </c>
      <c r="H197" s="43">
        <f ca="1">G46</f>
        <v>184483.91313296172</v>
      </c>
      <c r="I197" s="43">
        <f ca="1">H46</f>
        <v>167026.6395006472</v>
      </c>
      <c r="J197" s="43">
        <f ca="1">I46</f>
        <v>148221.92558361479</v>
      </c>
      <c r="K197" s="43">
        <f ca="1">J46</f>
        <v>137839.3566200127</v>
      </c>
      <c r="O197" t="s">
        <v>151</v>
      </c>
    </row>
    <row r="198" spans="3:15" x14ac:dyDescent="0.55000000000000004">
      <c r="C198" s="27" t="s">
        <v>144</v>
      </c>
      <c r="G198" s="16">
        <f>-50000</f>
        <v>-50000</v>
      </c>
      <c r="H198" s="16">
        <f>-50000</f>
        <v>-50000</v>
      </c>
      <c r="I198" s="16">
        <f>-50000</f>
        <v>-50000</v>
      </c>
      <c r="J198" s="16">
        <f>-50000</f>
        <v>-50000</v>
      </c>
      <c r="K198" s="16">
        <f>-50000</f>
        <v>-50000</v>
      </c>
      <c r="O198" t="s">
        <v>152</v>
      </c>
    </row>
    <row r="199" spans="3:15" x14ac:dyDescent="0.55000000000000004">
      <c r="C199" s="27" t="s">
        <v>145</v>
      </c>
      <c r="G199" s="43">
        <f ca="1">G88+G91+G93+G95+G96</f>
        <v>-27434.086867036429</v>
      </c>
      <c r="H199" s="43">
        <f ca="1">H88+H91+H93+H95+H96</f>
        <v>-17457.27363229121</v>
      </c>
      <c r="I199" s="43">
        <f ca="1">I88+I91+I93+I95+I96</f>
        <v>-18804.713916886089</v>
      </c>
      <c r="J199" s="43">
        <f ca="1">J88+J91+J93+J95+J96</f>
        <v>-10382.568962987003</v>
      </c>
      <c r="K199" s="43">
        <f ca="1">K88+K91+K93+K95+K96</f>
        <v>-10762.243182886014</v>
      </c>
      <c r="O199" t="s">
        <v>153</v>
      </c>
    </row>
    <row r="200" spans="3:15" x14ac:dyDescent="0.55000000000000004">
      <c r="C200" s="28" t="s">
        <v>146</v>
      </c>
      <c r="D200" s="2"/>
      <c r="E200" s="2"/>
      <c r="F200" s="2"/>
      <c r="G200" s="49">
        <f ca="1">SUM(G197:G199)</f>
        <v>128463.91313296357</v>
      </c>
      <c r="H200" s="49">
        <f ca="1">SUM(H197:H199)</f>
        <v>117026.63950067051</v>
      </c>
      <c r="I200" s="49">
        <f ca="1">SUM(I197:I199)</f>
        <v>98221.925583761113</v>
      </c>
      <c r="J200" s="49">
        <f ca="1">SUM(J197:J199)</f>
        <v>87839.35662062779</v>
      </c>
      <c r="K200" s="49">
        <f ca="1">SUM(K197:K199)</f>
        <v>77077.113437126682</v>
      </c>
    </row>
    <row r="202" spans="3:15" x14ac:dyDescent="0.55000000000000004">
      <c r="C202" s="1" t="s">
        <v>147</v>
      </c>
    </row>
    <row r="203" spans="3:15" x14ac:dyDescent="0.55000000000000004">
      <c r="C203" s="27" t="s">
        <v>104</v>
      </c>
      <c r="G203" s="43">
        <f>F206</f>
        <v>5980</v>
      </c>
      <c r="H203" s="43">
        <f ca="1">G206</f>
        <v>12000</v>
      </c>
      <c r="I203" s="43">
        <f ca="1">H206</f>
        <v>12000</v>
      </c>
      <c r="J203" s="43">
        <f ca="1">I206</f>
        <v>12000</v>
      </c>
      <c r="K203" s="43">
        <f ca="1">J206</f>
        <v>12000</v>
      </c>
      <c r="O203" t="s">
        <v>109</v>
      </c>
    </row>
    <row r="204" spans="3:15" x14ac:dyDescent="0.55000000000000004">
      <c r="C204" s="27" t="s">
        <v>148</v>
      </c>
      <c r="G204" s="43">
        <f ca="1">-MIN(G203,G200)</f>
        <v>-5980</v>
      </c>
      <c r="H204" s="43">
        <f ca="1">-MIN(H203,H200)</f>
        <v>-12000</v>
      </c>
      <c r="I204" s="43">
        <f ca="1">-MIN(I203,I200)</f>
        <v>-12000</v>
      </c>
      <c r="J204" s="43">
        <f ca="1">-MIN(J203,J200)</f>
        <v>-12000</v>
      </c>
      <c r="K204" s="43">
        <f ca="1">-MIN(K203,K200)</f>
        <v>-12000</v>
      </c>
      <c r="O204" t="s">
        <v>154</v>
      </c>
    </row>
    <row r="205" spans="3:15" x14ac:dyDescent="0.55000000000000004">
      <c r="C205" s="27" t="s">
        <v>149</v>
      </c>
      <c r="G205" s="16">
        <v>12000</v>
      </c>
      <c r="H205" s="16">
        <v>12000</v>
      </c>
      <c r="I205" s="16">
        <v>12000</v>
      </c>
      <c r="J205" s="16">
        <v>12000</v>
      </c>
      <c r="K205" s="16">
        <v>12000</v>
      </c>
      <c r="O205" t="s">
        <v>152</v>
      </c>
    </row>
    <row r="206" spans="3:15" x14ac:dyDescent="0.55000000000000004">
      <c r="C206" s="45" t="s">
        <v>107</v>
      </c>
      <c r="D206" s="46">
        <f>D58</f>
        <v>0</v>
      </c>
      <c r="E206" s="46">
        <f>E58</f>
        <v>11964</v>
      </c>
      <c r="F206" s="46">
        <f>F58</f>
        <v>5980</v>
      </c>
      <c r="G206" s="46">
        <f ca="1">SUM(G203:G205)</f>
        <v>12000</v>
      </c>
      <c r="H206" s="46">
        <f ca="1">SUM(H203:H205)</f>
        <v>12000</v>
      </c>
      <c r="I206" s="46">
        <f ca="1">SUM(I203:I205)</f>
        <v>12000</v>
      </c>
      <c r="J206" s="46">
        <f ca="1">SUM(J203:J205)</f>
        <v>12000</v>
      </c>
      <c r="K206" s="46">
        <f ca="1">SUM(K203:K205)</f>
        <v>12000</v>
      </c>
    </row>
    <row r="207" spans="3:15" x14ac:dyDescent="0.55000000000000004">
      <c r="C207" s="47" t="s">
        <v>150</v>
      </c>
      <c r="D207" s="26"/>
      <c r="E207" s="26"/>
      <c r="F207" s="26"/>
      <c r="G207" s="69" t="str">
        <f ca="1">IF(G206&lt;0,"Negative Debt","Ok")</f>
        <v>Ok</v>
      </c>
      <c r="H207" s="69" t="str">
        <f ca="1">IF(H206&lt;0,"Negative Debt","Ok")</f>
        <v>Ok</v>
      </c>
      <c r="I207" s="69" t="str">
        <f ca="1">IF(I206&lt;0,"Negative Debt","Ok")</f>
        <v>Ok</v>
      </c>
      <c r="J207" s="69" t="str">
        <f ca="1">IF(J206&lt;0,"Negative Debt","Ok")</f>
        <v>Ok</v>
      </c>
      <c r="K207" s="70" t="str">
        <f ca="1">IF(K206&lt;0,"Negative Debt","Ok")</f>
        <v>Ok</v>
      </c>
    </row>
    <row r="209" spans="1:15" ht="14.7" thickBot="1" x14ac:dyDescent="0.6">
      <c r="A209" s="12" t="s">
        <v>31</v>
      </c>
      <c r="C209" s="36" t="s">
        <v>155</v>
      </c>
      <c r="D209" s="21"/>
      <c r="E209" s="21"/>
      <c r="F209" s="21"/>
      <c r="G209" s="21"/>
      <c r="H209" s="21"/>
      <c r="I209" s="21"/>
      <c r="J209" s="21"/>
      <c r="K209" s="21"/>
    </row>
    <row r="210" spans="1:15" x14ac:dyDescent="0.55000000000000004">
      <c r="C210" s="5" t="s">
        <v>8</v>
      </c>
      <c r="D210" s="24">
        <f>E210-1</f>
        <v>2017</v>
      </c>
      <c r="E210" s="24">
        <f>F210-1</f>
        <v>2018</v>
      </c>
      <c r="F210" s="24">
        <f>G210-1</f>
        <v>2019</v>
      </c>
      <c r="G210" s="25">
        <v>2020</v>
      </c>
      <c r="H210" s="25">
        <f>G210+1</f>
        <v>2021</v>
      </c>
      <c r="I210" s="25">
        <f>H210+1</f>
        <v>2022</v>
      </c>
      <c r="J210" s="25">
        <f>I210+1</f>
        <v>2023</v>
      </c>
      <c r="K210" s="25">
        <f>J210+1</f>
        <v>2024</v>
      </c>
    </row>
    <row r="211" spans="1:15" ht="14.7" thickBot="1" x14ac:dyDescent="0.6">
      <c r="C211" s="20" t="s">
        <v>9</v>
      </c>
      <c r="D211" s="37">
        <f>D16</f>
        <v>43008</v>
      </c>
      <c r="E211" s="37">
        <f>E16</f>
        <v>43373</v>
      </c>
      <c r="F211" s="37">
        <f>F16</f>
        <v>43736</v>
      </c>
      <c r="G211" s="37">
        <f>G16</f>
        <v>44104</v>
      </c>
      <c r="H211" s="37">
        <f>H16</f>
        <v>44469</v>
      </c>
      <c r="I211" s="37">
        <f>I16</f>
        <v>44834</v>
      </c>
      <c r="J211" s="37">
        <f>J16</f>
        <v>45199</v>
      </c>
      <c r="K211" s="37">
        <f>K16</f>
        <v>45565</v>
      </c>
    </row>
    <row r="213" spans="1:15" x14ac:dyDescent="0.55000000000000004">
      <c r="C213" t="s">
        <v>156</v>
      </c>
      <c r="D213" s="43">
        <f>-D25</f>
        <v>2323</v>
      </c>
      <c r="E213" s="43">
        <f>-E25</f>
        <v>3240</v>
      </c>
      <c r="F213" s="43">
        <f>-F25</f>
        <v>3576</v>
      </c>
      <c r="G213" s="43">
        <f ca="1">G218+G223</f>
        <v>3568.9466179543074</v>
      </c>
      <c r="H213" s="43">
        <f ca="1">H218+H223</f>
        <v>3636.3706179543074</v>
      </c>
      <c r="I213" s="43">
        <f ca="1">I218+I223</f>
        <v>3636.3706179543074</v>
      </c>
      <c r="J213" s="43">
        <f ca="1">J218+J223</f>
        <v>3636.3706179543074</v>
      </c>
      <c r="K213" s="43">
        <f ca="1">K218+K223</f>
        <v>3636.3706179543074</v>
      </c>
      <c r="O213" t="s">
        <v>161</v>
      </c>
    </row>
    <row r="215" spans="1:15" x14ac:dyDescent="0.55000000000000004">
      <c r="C215" s="14" t="s">
        <v>157</v>
      </c>
    </row>
    <row r="216" spans="1:15" x14ac:dyDescent="0.55000000000000004">
      <c r="C216" s="27" t="s">
        <v>158</v>
      </c>
      <c r="E216" s="30">
        <f>E75</f>
        <v>2.18E-2</v>
      </c>
      <c r="F216" s="30">
        <f>F75</f>
        <v>2.24E-2</v>
      </c>
      <c r="G216" s="78">
        <f>F216</f>
        <v>2.24E-2</v>
      </c>
      <c r="H216" s="78">
        <f>G216</f>
        <v>2.24E-2</v>
      </c>
      <c r="I216" s="78">
        <f>H216</f>
        <v>2.24E-2</v>
      </c>
      <c r="J216" s="78">
        <f>I216</f>
        <v>2.24E-2</v>
      </c>
      <c r="K216" s="78">
        <f>J216</f>
        <v>2.24E-2</v>
      </c>
      <c r="O216" t="s">
        <v>162</v>
      </c>
    </row>
    <row r="217" spans="1:15" x14ac:dyDescent="0.55000000000000004">
      <c r="C217" s="27" t="s">
        <v>159</v>
      </c>
      <c r="D217" s="43"/>
      <c r="E217" s="43">
        <f>E58</f>
        <v>11964</v>
      </c>
      <c r="F217" s="43">
        <f>F58</f>
        <v>5980</v>
      </c>
      <c r="G217" s="43">
        <f ca="1">G206</f>
        <v>12000</v>
      </c>
      <c r="H217" s="43">
        <f ca="1">H206</f>
        <v>12000</v>
      </c>
      <c r="I217" s="43">
        <f ca="1">I206</f>
        <v>12000</v>
      </c>
      <c r="J217" s="43">
        <f ca="1">J206</f>
        <v>12000</v>
      </c>
      <c r="K217" s="43">
        <f ca="1">K206</f>
        <v>12000</v>
      </c>
      <c r="O217" t="s">
        <v>163</v>
      </c>
    </row>
    <row r="218" spans="1:15" x14ac:dyDescent="0.55000000000000004">
      <c r="C218" s="28" t="s">
        <v>160</v>
      </c>
      <c r="D218" s="2"/>
      <c r="E218" s="33">
        <f>AVERAGE(E217,D217)*E216</f>
        <v>260.8152</v>
      </c>
      <c r="F218" s="33">
        <f>AVERAGE(F217,E217)*F216</f>
        <v>200.97280000000001</v>
      </c>
      <c r="G218" s="33">
        <f ca="1">IF($D$7=1,G216*AVERAGE(G217,F217),G216*F217)</f>
        <v>201.376</v>
      </c>
      <c r="H218" s="33">
        <f ca="1">IF($D$7=1,H216*AVERAGE(H217,G217),H216*G217)</f>
        <v>268.8</v>
      </c>
      <c r="I218" s="33">
        <f ca="1">IF($D$7=1,I216*AVERAGE(I217,H217),I216*H217)</f>
        <v>268.8</v>
      </c>
      <c r="J218" s="33">
        <f ca="1">IF($D$7=1,J216*AVERAGE(J217,I217),J216*I217)</f>
        <v>268.8</v>
      </c>
      <c r="K218" s="33">
        <f ca="1">IF($D$7=1,K216*AVERAGE(K217,J217),K216*J217)</f>
        <v>268.8</v>
      </c>
      <c r="O218" t="s">
        <v>164</v>
      </c>
    </row>
    <row r="220" spans="1:15" x14ac:dyDescent="0.55000000000000004">
      <c r="C220" s="14" t="s">
        <v>96</v>
      </c>
    </row>
    <row r="221" spans="1:15" x14ac:dyDescent="0.55000000000000004">
      <c r="C221" s="27" t="s">
        <v>159</v>
      </c>
      <c r="E221" s="43">
        <f>E59</f>
        <v>102519</v>
      </c>
      <c r="F221" s="43">
        <f>F59</f>
        <v>102067</v>
      </c>
      <c r="G221" s="43">
        <f>G59</f>
        <v>102067</v>
      </c>
      <c r="H221" s="43">
        <f>H59</f>
        <v>102067</v>
      </c>
      <c r="I221" s="43">
        <f>I59</f>
        <v>102067</v>
      </c>
      <c r="J221" s="43">
        <f>J59</f>
        <v>102067</v>
      </c>
      <c r="K221" s="43">
        <f>K59</f>
        <v>102067</v>
      </c>
      <c r="O221" t="s">
        <v>139</v>
      </c>
    </row>
    <row r="222" spans="1:15" x14ac:dyDescent="0.55000000000000004">
      <c r="C222" s="27" t="s">
        <v>158</v>
      </c>
      <c r="E222" s="31">
        <f>E223/AVERAGE(E221,D221)</f>
        <v>2.9059830860620958E-2</v>
      </c>
      <c r="F222" s="31">
        <f>F223/AVERAGE(F221,E221)</f>
        <v>3.2993725865895024E-2</v>
      </c>
      <c r="G222" s="78">
        <f>F222</f>
        <v>3.2993725865895024E-2</v>
      </c>
      <c r="H222" s="78">
        <f>G222</f>
        <v>3.2993725865895024E-2</v>
      </c>
      <c r="I222" s="78">
        <f>H222</f>
        <v>3.2993725865895024E-2</v>
      </c>
      <c r="J222" s="78">
        <f>I222</f>
        <v>3.2993725865895024E-2</v>
      </c>
      <c r="K222" s="78">
        <f>J222</f>
        <v>3.2993725865895024E-2</v>
      </c>
      <c r="O222" t="s">
        <v>162</v>
      </c>
    </row>
    <row r="223" spans="1:15" x14ac:dyDescent="0.55000000000000004">
      <c r="C223" s="28" t="s">
        <v>160</v>
      </c>
      <c r="D223" s="13"/>
      <c r="E223" s="49">
        <f>E213-E218</f>
        <v>2979.1848</v>
      </c>
      <c r="F223" s="49">
        <f>F213-F218</f>
        <v>3375.0272</v>
      </c>
      <c r="G223" s="49">
        <f>IF($D$7=1,G222*AVERAGE(G221,F221),G222*F221)</f>
        <v>3367.5706179543072</v>
      </c>
      <c r="H223" s="49">
        <f>IF($D$7=1,H222*AVERAGE(H221,G221),H222*G221)</f>
        <v>3367.5706179543072</v>
      </c>
      <c r="I223" s="49">
        <f>IF($D$7=1,I222*AVERAGE(I221,H221),I222*H221)</f>
        <v>3367.5706179543072</v>
      </c>
      <c r="J223" s="49">
        <f>IF($D$7=1,J222*AVERAGE(J221,I221),J222*I221)</f>
        <v>3367.5706179543072</v>
      </c>
      <c r="K223" s="49">
        <f>IF($D$7=1,K222*AVERAGE(K221,J221),K222*J221)</f>
        <v>3367.5706179543072</v>
      </c>
      <c r="O223" t="s">
        <v>166</v>
      </c>
    </row>
    <row r="225" spans="1:15" x14ac:dyDescent="0.55000000000000004">
      <c r="C225" s="48" t="s">
        <v>165</v>
      </c>
    </row>
    <row r="226" spans="1:15" x14ac:dyDescent="0.55000000000000004">
      <c r="C226" s="27" t="s">
        <v>57</v>
      </c>
      <c r="D226" s="30"/>
      <c r="E226" s="30">
        <f>E76</f>
        <v>2.1600000000000001E-2</v>
      </c>
      <c r="F226" s="30">
        <f>F76</f>
        <v>2.1899999999999999E-2</v>
      </c>
      <c r="G226" s="31">
        <f>F226</f>
        <v>2.1899999999999999E-2</v>
      </c>
      <c r="H226" s="31">
        <f>G226</f>
        <v>2.1899999999999999E-2</v>
      </c>
      <c r="I226" s="31">
        <f>H226</f>
        <v>2.1899999999999999E-2</v>
      </c>
      <c r="J226" s="31">
        <f>I226</f>
        <v>2.1899999999999999E-2</v>
      </c>
      <c r="K226" s="31">
        <f>J226</f>
        <v>2.1899999999999999E-2</v>
      </c>
      <c r="O226" t="s">
        <v>162</v>
      </c>
    </row>
    <row r="227" spans="1:15" x14ac:dyDescent="0.55000000000000004">
      <c r="C227" s="28" t="s">
        <v>15</v>
      </c>
      <c r="D227" s="49">
        <f>D24</f>
        <v>5201</v>
      </c>
      <c r="E227" s="49">
        <f>E24</f>
        <v>5686</v>
      </c>
      <c r="F227" s="49">
        <f>F24</f>
        <v>4961</v>
      </c>
      <c r="G227" s="33">
        <f ca="1">IF($D$7=1,G226*AVERAGE(G46,F46),G226*F46)</f>
        <v>4274.6819488059309</v>
      </c>
      <c r="H227" s="33">
        <f ca="1">IF($D$7=1,H226*AVERAGE(H46,G46),H226*G46)</f>
        <v>3849.0405513380174</v>
      </c>
      <c r="I227" s="33">
        <f ca="1">IF($D$7=1,I226*AVERAGE(I46,H46),I226*H46)</f>
        <v>3451.9717876726686</v>
      </c>
      <c r="J227" s="33">
        <f ca="1">IF($D$7=1,J226*AVERAGE(J46,I46),J226*I46)</f>
        <v>3132.3710401297212</v>
      </c>
      <c r="K227" s="33">
        <f ca="1">IF($D$7=1,K226*AVERAGE(K46,J46),K226*J46)</f>
        <v>2900.8353471042542</v>
      </c>
      <c r="O227" t="s">
        <v>167</v>
      </c>
    </row>
    <row r="229" spans="1:15" ht="14.7" thickBot="1" x14ac:dyDescent="0.6">
      <c r="A229" s="12" t="s">
        <v>31</v>
      </c>
      <c r="C229" s="36" t="s">
        <v>172</v>
      </c>
      <c r="D229" s="21"/>
      <c r="E229" s="21"/>
      <c r="F229" s="21"/>
      <c r="G229" s="21"/>
      <c r="H229" s="21"/>
      <c r="I229" s="21"/>
      <c r="J229" s="21"/>
      <c r="K229" s="21"/>
    </row>
    <row r="231" spans="1:15" ht="14.7" thickBot="1" x14ac:dyDescent="0.6">
      <c r="C231" s="36" t="s">
        <v>173</v>
      </c>
      <c r="D231" s="21"/>
      <c r="E231" s="21"/>
      <c r="F231" s="21"/>
      <c r="G231" s="21"/>
      <c r="H231" s="21"/>
      <c r="I231" s="21"/>
    </row>
    <row r="232" spans="1:15" x14ac:dyDescent="0.55000000000000004">
      <c r="D232" s="29" t="s">
        <v>174</v>
      </c>
      <c r="E232" s="29"/>
      <c r="F232" s="29"/>
      <c r="G232" s="29"/>
      <c r="H232" s="29"/>
      <c r="I232" s="29"/>
    </row>
    <row r="233" spans="1:15" ht="14.7" thickBot="1" x14ac:dyDescent="0.6">
      <c r="C233" s="53"/>
      <c r="D233" s="56">
        <f ca="1">G29</f>
        <v>55955.294384606859</v>
      </c>
      <c r="E233" s="55">
        <v>-0.03</v>
      </c>
      <c r="F233" s="55">
        <v>0</v>
      </c>
      <c r="G233" s="55">
        <v>0.03</v>
      </c>
      <c r="H233" s="55">
        <v>0.06</v>
      </c>
      <c r="I233" s="55">
        <v>0.09</v>
      </c>
    </row>
    <row r="234" spans="1:15" x14ac:dyDescent="0.55000000000000004">
      <c r="C234" s="53"/>
      <c r="D234" s="42">
        <v>0.4</v>
      </c>
      <c r="E234" s="57">
        <f t="dataTable" ref="E234:I239" dt2D="1" dtr="1" r1="G37" r2="G38" ca="1"/>
        <v>57052.316388911269</v>
      </c>
      <c r="F234" s="58">
        <v>58809.563865384793</v>
      </c>
      <c r="G234" s="58">
        <v>60566.811341858323</v>
      </c>
      <c r="H234" s="58">
        <v>62324.058818331861</v>
      </c>
      <c r="I234" s="58">
        <v>64081.306294805407</v>
      </c>
    </row>
    <row r="235" spans="1:15" x14ac:dyDescent="0.55000000000000004">
      <c r="C235" s="54" t="s">
        <v>175</v>
      </c>
      <c r="D235" s="42">
        <v>0.39</v>
      </c>
      <c r="E235" s="59">
        <v>54949.302091367099</v>
      </c>
      <c r="F235" s="43">
        <v>56641.507888535074</v>
      </c>
      <c r="G235" s="43">
        <v>58333.713685703122</v>
      </c>
      <c r="H235" s="43">
        <v>60025.91948287117</v>
      </c>
      <c r="I235" s="43">
        <v>61718.125280039225</v>
      </c>
    </row>
    <row r="236" spans="1:15" x14ac:dyDescent="0.55000000000000004">
      <c r="C236" s="54" t="s">
        <v>176</v>
      </c>
      <c r="D236" s="42">
        <v>0.378</v>
      </c>
      <c r="E236" s="59">
        <v>52425.684934314042</v>
      </c>
      <c r="F236" s="43">
        <v>54039.840716315433</v>
      </c>
      <c r="G236" s="43">
        <v>55653.996498316883</v>
      </c>
      <c r="H236" s="43">
        <v>57268.152280318332</v>
      </c>
      <c r="I236" s="43">
        <v>58882.308062319797</v>
      </c>
    </row>
    <row r="237" spans="1:15" x14ac:dyDescent="0.55000000000000004">
      <c r="C237" s="54" t="s">
        <v>177</v>
      </c>
      <c r="D237" s="42">
        <v>0.35</v>
      </c>
      <c r="E237" s="59">
        <v>46537.244901190235</v>
      </c>
      <c r="F237" s="43">
        <v>47969.283981136243</v>
      </c>
      <c r="G237" s="43">
        <v>49401.323061082323</v>
      </c>
      <c r="H237" s="43">
        <v>50833.362141028389</v>
      </c>
      <c r="I237" s="43">
        <v>52265.401220974491</v>
      </c>
    </row>
    <row r="238" spans="1:15" x14ac:dyDescent="0.55000000000000004">
      <c r="C238" s="53"/>
      <c r="D238" s="42">
        <v>0.32</v>
      </c>
      <c r="E238" s="59">
        <v>40228.2020085576</v>
      </c>
      <c r="F238" s="43">
        <v>41465.11605058713</v>
      </c>
      <c r="G238" s="43">
        <v>42702.030092616726</v>
      </c>
      <c r="H238" s="43">
        <v>43938.944134646328</v>
      </c>
      <c r="I238" s="43">
        <v>45175.858176675953</v>
      </c>
    </row>
    <row r="239" spans="1:15" x14ac:dyDescent="0.55000000000000004">
      <c r="C239" s="53"/>
      <c r="D239" s="42">
        <v>0.3</v>
      </c>
      <c r="E239" s="59">
        <v>36022.173413469151</v>
      </c>
      <c r="F239" s="43">
        <v>37129.004096887707</v>
      </c>
      <c r="G239" s="43">
        <v>38235.834780306323</v>
      </c>
      <c r="H239" s="43">
        <v>39342.665463724945</v>
      </c>
      <c r="I239" s="43">
        <v>40449.496147143582</v>
      </c>
    </row>
    <row r="240" spans="1:15" x14ac:dyDescent="0.55000000000000004">
      <c r="D240" s="42"/>
    </row>
    <row r="241" spans="1:11" ht="14.7" thickBot="1" x14ac:dyDescent="0.6">
      <c r="A241" s="12" t="s">
        <v>31</v>
      </c>
      <c r="C241" s="36" t="s">
        <v>178</v>
      </c>
      <c r="D241" s="21"/>
      <c r="E241" s="21"/>
      <c r="F241" s="21"/>
      <c r="G241" s="21"/>
      <c r="H241" s="21"/>
      <c r="I241" s="21"/>
      <c r="J241" s="21"/>
      <c r="K241" s="21"/>
    </row>
    <row r="242" spans="1:11" ht="14.7" thickBot="1" x14ac:dyDescent="0.6"/>
    <row r="243" spans="1:11" ht="14.7" thickBot="1" x14ac:dyDescent="0.6">
      <c r="C243" t="s">
        <v>179</v>
      </c>
      <c r="D243" s="67" t="str">
        <f>D12</f>
        <v>Base Case</v>
      </c>
      <c r="F243" s="60" t="s">
        <v>180</v>
      </c>
      <c r="G243" s="25">
        <f t="shared" ref="G243:K244" si="41">G210</f>
        <v>2020</v>
      </c>
      <c r="H243" s="25">
        <f t="shared" si="41"/>
        <v>2021</v>
      </c>
      <c r="I243" s="25">
        <f t="shared" si="41"/>
        <v>2022</v>
      </c>
      <c r="J243" s="25">
        <f t="shared" si="41"/>
        <v>2023</v>
      </c>
      <c r="K243" s="25">
        <f t="shared" si="41"/>
        <v>2024</v>
      </c>
    </row>
    <row r="244" spans="1:11" x14ac:dyDescent="0.55000000000000004">
      <c r="F244" s="95" t="s">
        <v>182</v>
      </c>
      <c r="G244" s="18">
        <f t="shared" si="41"/>
        <v>44104</v>
      </c>
      <c r="H244" s="18">
        <f t="shared" si="41"/>
        <v>44469</v>
      </c>
      <c r="I244" s="18">
        <f t="shared" si="41"/>
        <v>44834</v>
      </c>
      <c r="J244" s="18">
        <f t="shared" si="41"/>
        <v>45199</v>
      </c>
      <c r="K244" s="18">
        <f t="shared" si="41"/>
        <v>45565</v>
      </c>
    </row>
    <row r="245" spans="1:11" x14ac:dyDescent="0.55000000000000004">
      <c r="C245" s="27" t="s">
        <v>220</v>
      </c>
      <c r="F245" s="101" t="str">
        <f>IF($D$243="Best Case",F252,IF($D$243="Base Case",F253,F254))</f>
        <v>NM</v>
      </c>
      <c r="G245" s="99">
        <f t="shared" ref="G245:K245" si="42">IF($D$243="Best Case",G252,IF($D$243="Base Case",G253,G254))</f>
        <v>190880</v>
      </c>
      <c r="H245" s="99">
        <f t="shared" si="42"/>
        <v>195880</v>
      </c>
      <c r="I245" s="99">
        <f t="shared" si="42"/>
        <v>200880</v>
      </c>
      <c r="J245" s="99">
        <f t="shared" si="42"/>
        <v>205880</v>
      </c>
      <c r="K245" s="100">
        <f t="shared" si="42"/>
        <v>210880</v>
      </c>
    </row>
    <row r="246" spans="1:11" x14ac:dyDescent="0.55000000000000004">
      <c r="C246" s="27" t="s">
        <v>221</v>
      </c>
      <c r="F246" s="102" t="str">
        <f t="shared" ref="F246:K246" si="43">IF($D$243="Best Case",F256,IF($D$243="Base Case",F257,F258))</f>
        <v>NM</v>
      </c>
      <c r="G246" s="103">
        <f t="shared" si="43"/>
        <v>725.45054484492903</v>
      </c>
      <c r="H246" s="103">
        <f t="shared" si="43"/>
        <v>775.45054484492903</v>
      </c>
      <c r="I246" s="103">
        <f t="shared" si="43"/>
        <v>825.45054484492903</v>
      </c>
      <c r="J246" s="103">
        <f t="shared" si="43"/>
        <v>875.45054484492903</v>
      </c>
      <c r="K246" s="104">
        <f t="shared" si="43"/>
        <v>925.45054484492903</v>
      </c>
    </row>
    <row r="247" spans="1:11" x14ac:dyDescent="0.55000000000000004">
      <c r="C247" s="27" t="s">
        <v>26</v>
      </c>
      <c r="F247" s="96" t="str">
        <f t="shared" ref="F247:K247" si="44">IF($D$243="Best Case",F260,IF($D$243="Base Case",F261,F262))</f>
        <v>NM</v>
      </c>
      <c r="G247" s="63">
        <f t="shared" si="44"/>
        <v>0.38100000000000001</v>
      </c>
      <c r="H247" s="63">
        <f t="shared" si="44"/>
        <v>0.38200000000000001</v>
      </c>
      <c r="I247" s="63">
        <f t="shared" si="44"/>
        <v>0.38200000000000001</v>
      </c>
      <c r="J247" s="63">
        <f t="shared" si="44"/>
        <v>0.38200000000000001</v>
      </c>
      <c r="K247" s="79">
        <f t="shared" si="44"/>
        <v>0.38200000000000001</v>
      </c>
    </row>
    <row r="248" spans="1:11" x14ac:dyDescent="0.55000000000000004">
      <c r="C248" s="27" t="s">
        <v>27</v>
      </c>
      <c r="F248" s="96" t="str">
        <f t="shared" ref="F248:K248" si="45">IF($D$243="Best Case",F264,IF($D$243="Base Case",F265,F266))</f>
        <v>NM</v>
      </c>
      <c r="G248" s="63">
        <f t="shared" si="45"/>
        <v>6.3E-2</v>
      </c>
      <c r="H248" s="63">
        <f t="shared" si="45"/>
        <v>6.3E-2</v>
      </c>
      <c r="I248" s="63">
        <f t="shared" si="45"/>
        <v>6.3E-2</v>
      </c>
      <c r="J248" s="63">
        <f t="shared" si="45"/>
        <v>6.3E-2</v>
      </c>
      <c r="K248" s="79">
        <f t="shared" si="45"/>
        <v>6.3E-2</v>
      </c>
    </row>
    <row r="249" spans="1:11" x14ac:dyDescent="0.55000000000000004">
      <c r="C249" s="27" t="s">
        <v>28</v>
      </c>
      <c r="F249" s="97" t="str">
        <f t="shared" ref="F249:K249" si="46">IF($D$243="Best Case",F268,IF($D$243="Base Case",F269,F270))</f>
        <v>NM</v>
      </c>
      <c r="G249" s="80">
        <f t="shared" si="46"/>
        <v>6.9000000000000006E-2</v>
      </c>
      <c r="H249" s="80">
        <f t="shared" si="46"/>
        <v>6.9000000000000006E-2</v>
      </c>
      <c r="I249" s="80">
        <f t="shared" si="46"/>
        <v>6.9000000000000006E-2</v>
      </c>
      <c r="J249" s="80">
        <f t="shared" si="46"/>
        <v>6.9000000000000006E-2</v>
      </c>
      <c r="K249" s="81">
        <f t="shared" si="46"/>
        <v>6.9000000000000006E-2</v>
      </c>
    </row>
    <row r="250" spans="1:11" x14ac:dyDescent="0.55000000000000004">
      <c r="F250" s="61"/>
    </row>
    <row r="251" spans="1:11" x14ac:dyDescent="0.55000000000000004">
      <c r="C251" s="41" t="s">
        <v>220</v>
      </c>
      <c r="F251" s="61"/>
    </row>
    <row r="252" spans="1:11" x14ac:dyDescent="0.55000000000000004">
      <c r="C252" s="44" t="s">
        <v>183</v>
      </c>
      <c r="F252" s="98">
        <v>20000</v>
      </c>
      <c r="G252" s="43">
        <f>G253+$F252</f>
        <v>210880</v>
      </c>
      <c r="H252" s="43">
        <f t="shared" ref="H252:K252" si="47">H253+$F252</f>
        <v>215880</v>
      </c>
      <c r="I252" s="43">
        <f t="shared" si="47"/>
        <v>220880</v>
      </c>
      <c r="J252" s="43">
        <f t="shared" si="47"/>
        <v>225880</v>
      </c>
      <c r="K252" s="43">
        <f t="shared" si="47"/>
        <v>230880</v>
      </c>
    </row>
    <row r="253" spans="1:11" x14ac:dyDescent="0.55000000000000004">
      <c r="C253" s="44" t="s">
        <v>181</v>
      </c>
      <c r="F253" s="62" t="s">
        <v>185</v>
      </c>
      <c r="G253" s="16">
        <v>190880</v>
      </c>
      <c r="H253" s="16">
        <v>195880</v>
      </c>
      <c r="I253" s="16">
        <v>200880</v>
      </c>
      <c r="J253" s="16">
        <v>205880</v>
      </c>
      <c r="K253" s="16">
        <v>210880</v>
      </c>
    </row>
    <row r="254" spans="1:11" x14ac:dyDescent="0.55000000000000004">
      <c r="C254" s="44" t="s">
        <v>184</v>
      </c>
      <c r="F254" s="98">
        <v>-20000</v>
      </c>
      <c r="G254" s="43">
        <f>G253+$F254</f>
        <v>170880</v>
      </c>
      <c r="H254" s="43">
        <f t="shared" ref="H254:K254" si="48">H253+$F254</f>
        <v>175880</v>
      </c>
      <c r="I254" s="43">
        <f t="shared" si="48"/>
        <v>180880</v>
      </c>
      <c r="J254" s="43">
        <f t="shared" si="48"/>
        <v>185880</v>
      </c>
      <c r="K254" s="43">
        <f t="shared" si="48"/>
        <v>190880</v>
      </c>
    </row>
    <row r="255" spans="1:11" x14ac:dyDescent="0.55000000000000004">
      <c r="C255" s="41" t="s">
        <v>221</v>
      </c>
      <c r="F255" s="61"/>
    </row>
    <row r="256" spans="1:11" x14ac:dyDescent="0.55000000000000004">
      <c r="C256" s="44" t="s">
        <v>183</v>
      </c>
      <c r="F256" s="98">
        <v>100</v>
      </c>
      <c r="G256" s="93">
        <f>G257+$F256</f>
        <v>825.45054484492903</v>
      </c>
      <c r="H256" s="93">
        <f t="shared" ref="H256:K256" si="49">H257+$F256</f>
        <v>875.45054484492903</v>
      </c>
      <c r="I256" s="93">
        <f t="shared" si="49"/>
        <v>925.45054484492903</v>
      </c>
      <c r="J256" s="93">
        <f t="shared" si="49"/>
        <v>975.45054484492903</v>
      </c>
      <c r="K256" s="93">
        <f t="shared" si="49"/>
        <v>1025.450544844929</v>
      </c>
    </row>
    <row r="257" spans="1:15" x14ac:dyDescent="0.55000000000000004">
      <c r="C257" s="44" t="s">
        <v>181</v>
      </c>
      <c r="D257" s="63"/>
      <c r="F257" s="62" t="s">
        <v>185</v>
      </c>
      <c r="G257" s="94">
        <v>725.45054484492903</v>
      </c>
      <c r="H257" s="94">
        <v>775.45054484492903</v>
      </c>
      <c r="I257" s="94">
        <v>825.45054484492903</v>
      </c>
      <c r="J257" s="94">
        <v>875.45054484492903</v>
      </c>
      <c r="K257" s="94">
        <v>925.45054484492903</v>
      </c>
      <c r="O257" t="s">
        <v>168</v>
      </c>
    </row>
    <row r="258" spans="1:15" x14ac:dyDescent="0.55000000000000004">
      <c r="C258" s="44" t="s">
        <v>184</v>
      </c>
      <c r="F258" s="98">
        <v>-100</v>
      </c>
      <c r="G258" s="93">
        <f>G257+$F258</f>
        <v>625.45054484492903</v>
      </c>
      <c r="H258" s="93">
        <f t="shared" ref="H258:K258" si="50">H257+$F258</f>
        <v>675.45054484492903</v>
      </c>
      <c r="I258" s="93">
        <f t="shared" si="50"/>
        <v>725.45054484492903</v>
      </c>
      <c r="J258" s="93">
        <f t="shared" si="50"/>
        <v>775.45054484492903</v>
      </c>
      <c r="K258" s="93">
        <f t="shared" si="50"/>
        <v>825.45054484492903</v>
      </c>
    </row>
    <row r="259" spans="1:15" x14ac:dyDescent="0.55000000000000004">
      <c r="C259" s="41" t="s">
        <v>26</v>
      </c>
      <c r="F259" s="61"/>
    </row>
    <row r="260" spans="1:15" x14ac:dyDescent="0.55000000000000004">
      <c r="C260" s="44" t="s">
        <v>183</v>
      </c>
      <c r="F260" s="65">
        <v>0.01</v>
      </c>
      <c r="G260" s="63">
        <f>G261+$F260</f>
        <v>0.39100000000000001</v>
      </c>
      <c r="H260" s="63">
        <f>H261+$F260</f>
        <v>0.39200000000000002</v>
      </c>
      <c r="I260" s="63">
        <f>I261+$F260</f>
        <v>0.39200000000000002</v>
      </c>
      <c r="J260" s="63">
        <f>J261+$F260</f>
        <v>0.39200000000000002</v>
      </c>
      <c r="K260" s="63">
        <f>K261+$F260</f>
        <v>0.39200000000000002</v>
      </c>
    </row>
    <row r="261" spans="1:15" x14ac:dyDescent="0.55000000000000004">
      <c r="C261" s="44" t="s">
        <v>181</v>
      </c>
      <c r="F261" s="62" t="s">
        <v>185</v>
      </c>
      <c r="G261" s="64">
        <v>0.38100000000000001</v>
      </c>
      <c r="H261" s="64">
        <v>0.38200000000000001</v>
      </c>
      <c r="I261" s="63">
        <v>0.38200000000000001</v>
      </c>
      <c r="J261" s="63">
        <v>0.38200000000000001</v>
      </c>
      <c r="K261" s="63">
        <v>0.38200000000000001</v>
      </c>
      <c r="O261" t="s">
        <v>169</v>
      </c>
    </row>
    <row r="262" spans="1:15" x14ac:dyDescent="0.55000000000000004">
      <c r="C262" s="44" t="s">
        <v>184</v>
      </c>
      <c r="F262" s="65">
        <v>-0.01</v>
      </c>
      <c r="G262" s="63">
        <f>G261+$F262</f>
        <v>0.371</v>
      </c>
      <c r="H262" s="63">
        <f>H261+$F262</f>
        <v>0.372</v>
      </c>
      <c r="I262" s="63">
        <f>I261+$F262</f>
        <v>0.372</v>
      </c>
      <c r="J262" s="63">
        <f>J261+$F262</f>
        <v>0.372</v>
      </c>
      <c r="K262" s="63">
        <f>K261+$F262</f>
        <v>0.372</v>
      </c>
    </row>
    <row r="263" spans="1:15" x14ac:dyDescent="0.55000000000000004">
      <c r="C263" s="41" t="s">
        <v>27</v>
      </c>
      <c r="F263" s="61"/>
      <c r="G263" s="63"/>
      <c r="H263" s="63"/>
      <c r="I263" s="63"/>
      <c r="J263" s="63"/>
      <c r="K263" s="63"/>
    </row>
    <row r="264" spans="1:15" x14ac:dyDescent="0.55000000000000004">
      <c r="C264" s="44" t="s">
        <v>183</v>
      </c>
      <c r="F264" s="65">
        <v>-0.01</v>
      </c>
      <c r="G264" s="63">
        <f>G265+$F264</f>
        <v>5.2999999999999999E-2</v>
      </c>
      <c r="H264" s="63">
        <f>H265+$F264</f>
        <v>5.2999999999999999E-2</v>
      </c>
      <c r="I264" s="63">
        <f>I265+$F264</f>
        <v>5.2999999999999999E-2</v>
      </c>
      <c r="J264" s="63">
        <f>J265+$F264</f>
        <v>5.2999999999999999E-2</v>
      </c>
      <c r="K264" s="63">
        <f>K265+$F264</f>
        <v>5.2999999999999999E-2</v>
      </c>
    </row>
    <row r="265" spans="1:15" x14ac:dyDescent="0.55000000000000004">
      <c r="C265" s="44" t="s">
        <v>181</v>
      </c>
      <c r="F265" s="62" t="s">
        <v>185</v>
      </c>
      <c r="G265" s="64">
        <v>6.3E-2</v>
      </c>
      <c r="H265" s="64">
        <v>6.3E-2</v>
      </c>
      <c r="I265" s="63">
        <v>6.3E-2</v>
      </c>
      <c r="J265" s="63">
        <v>6.3E-2</v>
      </c>
      <c r="K265" s="63">
        <v>6.3E-2</v>
      </c>
      <c r="O265" t="s">
        <v>169</v>
      </c>
    </row>
    <row r="266" spans="1:15" x14ac:dyDescent="0.55000000000000004">
      <c r="C266" s="44" t="s">
        <v>184</v>
      </c>
      <c r="F266" s="65">
        <v>0.01</v>
      </c>
      <c r="G266" s="63">
        <f>G265+$F266</f>
        <v>7.2999999999999995E-2</v>
      </c>
      <c r="H266" s="63">
        <f>H265+$F266</f>
        <v>7.2999999999999995E-2</v>
      </c>
      <c r="I266" s="63">
        <f>I265+$F266</f>
        <v>7.2999999999999995E-2</v>
      </c>
      <c r="J266" s="63">
        <f>J265+$F266</f>
        <v>7.2999999999999995E-2</v>
      </c>
      <c r="K266" s="63">
        <f>K265+$F266</f>
        <v>7.2999999999999995E-2</v>
      </c>
    </row>
    <row r="267" spans="1:15" x14ac:dyDescent="0.55000000000000004">
      <c r="C267" s="41" t="s">
        <v>28</v>
      </c>
      <c r="F267" s="61"/>
      <c r="G267" s="63"/>
      <c r="H267" s="63"/>
      <c r="I267" s="63"/>
      <c r="J267" s="63"/>
      <c r="K267" s="63"/>
    </row>
    <row r="268" spans="1:15" x14ac:dyDescent="0.55000000000000004">
      <c r="C268" s="44" t="s">
        <v>183</v>
      </c>
      <c r="F268" s="65">
        <v>-0.01</v>
      </c>
      <c r="G268" s="63">
        <f>G269+$F268</f>
        <v>5.9000000000000004E-2</v>
      </c>
      <c r="H268" s="63">
        <f>H269+$F268</f>
        <v>5.9000000000000004E-2</v>
      </c>
      <c r="I268" s="63">
        <f>I269+$F268</f>
        <v>5.9000000000000004E-2</v>
      </c>
      <c r="J268" s="63">
        <f>J269+$F268</f>
        <v>5.9000000000000004E-2</v>
      </c>
      <c r="K268" s="63">
        <f>K269+$F268</f>
        <v>5.9000000000000004E-2</v>
      </c>
    </row>
    <row r="269" spans="1:15" x14ac:dyDescent="0.55000000000000004">
      <c r="C269" s="44" t="s">
        <v>181</v>
      </c>
      <c r="F269" s="62" t="s">
        <v>185</v>
      </c>
      <c r="G269" s="64">
        <v>6.9000000000000006E-2</v>
      </c>
      <c r="H269" s="64">
        <v>6.9000000000000006E-2</v>
      </c>
      <c r="I269" s="63">
        <v>6.9000000000000006E-2</v>
      </c>
      <c r="J269" s="63">
        <v>6.9000000000000006E-2</v>
      </c>
      <c r="K269" s="63">
        <v>6.9000000000000006E-2</v>
      </c>
      <c r="O269" t="s">
        <v>169</v>
      </c>
    </row>
    <row r="270" spans="1:15" ht="14.7" thickBot="1" x14ac:dyDescent="0.6">
      <c r="C270" s="44" t="s">
        <v>184</v>
      </c>
      <c r="F270" s="66">
        <v>0.01</v>
      </c>
      <c r="G270" s="63">
        <f>G269+$F270</f>
        <v>7.9000000000000001E-2</v>
      </c>
      <c r="H270" s="63">
        <f>H269+$F270</f>
        <v>7.9000000000000001E-2</v>
      </c>
      <c r="I270" s="63">
        <f>I269+$F270</f>
        <v>7.9000000000000001E-2</v>
      </c>
      <c r="J270" s="63">
        <f>J269+$F270</f>
        <v>7.9000000000000001E-2</v>
      </c>
      <c r="K270" s="63">
        <f>K269+$F270</f>
        <v>7.9000000000000001E-2</v>
      </c>
    </row>
    <row r="272" spans="1:15" ht="14.7" thickBot="1" x14ac:dyDescent="0.6">
      <c r="A272" s="12" t="s">
        <v>31</v>
      </c>
      <c r="C272" s="73" t="s">
        <v>186</v>
      </c>
      <c r="D272" s="21"/>
      <c r="E272" s="21"/>
      <c r="F272" s="21"/>
      <c r="G272" s="21"/>
      <c r="H272" s="21"/>
      <c r="I272" s="21"/>
      <c r="J272" s="21"/>
      <c r="K272" s="21"/>
    </row>
    <row r="273" spans="1:15" x14ac:dyDescent="0.55000000000000004">
      <c r="C273" s="5" t="s">
        <v>8</v>
      </c>
      <c r="D273" s="24">
        <f>E273-1</f>
        <v>2017</v>
      </c>
      <c r="E273" s="24">
        <f>F273-1</f>
        <v>2018</v>
      </c>
      <c r="F273" s="24">
        <f>G273-1</f>
        <v>2019</v>
      </c>
      <c r="G273" s="25">
        <v>2020</v>
      </c>
      <c r="H273" s="25">
        <f>G273+1</f>
        <v>2021</v>
      </c>
      <c r="I273" s="25">
        <f>H273+1</f>
        <v>2022</v>
      </c>
      <c r="J273" s="25">
        <f>I273+1</f>
        <v>2023</v>
      </c>
      <c r="K273" s="25">
        <f>J273+1</f>
        <v>2024</v>
      </c>
    </row>
    <row r="274" spans="1:15" ht="14.7" thickBot="1" x14ac:dyDescent="0.6">
      <c r="C274" s="20" t="s">
        <v>9</v>
      </c>
      <c r="D274" s="37">
        <f t="shared" ref="D274:K274" si="51">D16</f>
        <v>43008</v>
      </c>
      <c r="E274" s="37">
        <f t="shared" si="51"/>
        <v>43373</v>
      </c>
      <c r="F274" s="37">
        <f t="shared" si="51"/>
        <v>43736</v>
      </c>
      <c r="G274" s="37">
        <f t="shared" si="51"/>
        <v>44104</v>
      </c>
      <c r="H274" s="37">
        <f t="shared" si="51"/>
        <v>44469</v>
      </c>
      <c r="I274" s="37">
        <f t="shared" si="51"/>
        <v>44834</v>
      </c>
      <c r="J274" s="37">
        <f t="shared" si="51"/>
        <v>45199</v>
      </c>
      <c r="K274" s="37">
        <f t="shared" si="51"/>
        <v>45565</v>
      </c>
    </row>
    <row r="275" spans="1:15" x14ac:dyDescent="0.55000000000000004">
      <c r="C275" s="71"/>
    </row>
    <row r="276" spans="1:15" x14ac:dyDescent="0.55000000000000004">
      <c r="C276" s="71" t="s">
        <v>88</v>
      </c>
      <c r="D276" s="43">
        <f t="shared" ref="D276:K276" si="52">D29</f>
        <v>48351</v>
      </c>
      <c r="E276" s="43">
        <f t="shared" si="52"/>
        <v>59531</v>
      </c>
      <c r="F276" s="43">
        <f t="shared" si="52"/>
        <v>55256</v>
      </c>
      <c r="G276" s="43">
        <f t="shared" ca="1" si="52"/>
        <v>55955.294384606859</v>
      </c>
      <c r="H276" s="43">
        <f t="shared" ca="1" si="52"/>
        <v>58622.465468099552</v>
      </c>
      <c r="I276" s="43">
        <f t="shared" ca="1" si="52"/>
        <v>61184.641578951305</v>
      </c>
      <c r="J276" s="43">
        <f t="shared" ca="1" si="52"/>
        <v>63915.068611200782</v>
      </c>
      <c r="K276" s="43">
        <f t="shared" ca="1" si="52"/>
        <v>66822.552703754292</v>
      </c>
      <c r="O276" t="s">
        <v>195</v>
      </c>
    </row>
    <row r="277" spans="1:15" x14ac:dyDescent="0.55000000000000004">
      <c r="C277" s="71" t="s">
        <v>187</v>
      </c>
      <c r="D277" s="16">
        <f>5217242/1000</f>
        <v>5217.2420000000002</v>
      </c>
      <c r="E277" s="16">
        <f>4955377/1000</f>
        <v>4955.3770000000004</v>
      </c>
      <c r="F277" s="16">
        <f>4617834/1000</f>
        <v>4617.8339999999998</v>
      </c>
      <c r="G277" s="43">
        <f>F277+(-G283+G284)/G285</f>
        <v>4382.5649084010711</v>
      </c>
      <c r="H277" s="43">
        <f t="shared" ref="H277:K277" si="53">G277+(-H283+H284)/H285</f>
        <v>4179.0347639346128</v>
      </c>
      <c r="I277" s="43">
        <f t="shared" si="53"/>
        <v>4003.0005980982201</v>
      </c>
      <c r="J277" s="43">
        <f t="shared" si="53"/>
        <v>3850.781877857874</v>
      </c>
      <c r="K277" s="43">
        <f t="shared" si="53"/>
        <v>3719.1865495866641</v>
      </c>
      <c r="O277" t="s">
        <v>196</v>
      </c>
    </row>
    <row r="278" spans="1:15" x14ac:dyDescent="0.55000000000000004">
      <c r="C278" s="72" t="s">
        <v>188</v>
      </c>
      <c r="D278" s="82">
        <f>D276/D277</f>
        <v>9.2675402061088974</v>
      </c>
      <c r="E278" s="82">
        <f t="shared" ref="E278:K278" si="54">E276/E277</f>
        <v>12.0134149228202</v>
      </c>
      <c r="F278" s="82">
        <f t="shared" si="54"/>
        <v>11.965783092246278</v>
      </c>
      <c r="G278" s="82">
        <f ca="1">G276/G277</f>
        <v>12.767704655633159</v>
      </c>
      <c r="H278" s="82">
        <f t="shared" ca="1" si="54"/>
        <v>14.027752526496281</v>
      </c>
      <c r="I278" s="82">
        <f t="shared" ca="1" si="54"/>
        <v>15.2846945883594</v>
      </c>
      <c r="J278" s="82">
        <f t="shared" ca="1" si="54"/>
        <v>16.597945725961416</v>
      </c>
      <c r="K278" s="82">
        <f t="shared" ca="1" si="54"/>
        <v>17.966980632144061</v>
      </c>
      <c r="O278" t="s">
        <v>197</v>
      </c>
    </row>
    <row r="279" spans="1:15" x14ac:dyDescent="0.55000000000000004">
      <c r="C279" s="71"/>
    </row>
    <row r="280" spans="1:15" x14ac:dyDescent="0.55000000000000004">
      <c r="C280" s="71" t="s">
        <v>189</v>
      </c>
      <c r="D280" s="16">
        <f>5251692/1000</f>
        <v>5251.692</v>
      </c>
      <c r="E280" s="16">
        <f>5000109/1000</f>
        <v>5000.1090000000004</v>
      </c>
      <c r="F280" s="16">
        <f>4648913/1000</f>
        <v>4648.9129999999996</v>
      </c>
      <c r="G280" s="43">
        <f>G277+F280-F277</f>
        <v>4413.6439084010699</v>
      </c>
      <c r="H280" s="43">
        <f t="shared" ref="H280:K280" si="55">H277+G280-G277</f>
        <v>4210.1137639346107</v>
      </c>
      <c r="I280" s="43">
        <f t="shared" si="55"/>
        <v>4034.0795980982184</v>
      </c>
      <c r="J280" s="43">
        <f t="shared" si="55"/>
        <v>3881.8608778578723</v>
      </c>
      <c r="K280" s="43">
        <f t="shared" si="55"/>
        <v>3750.2655495866629</v>
      </c>
      <c r="O280" t="s">
        <v>198</v>
      </c>
    </row>
    <row r="281" spans="1:15" x14ac:dyDescent="0.55000000000000004">
      <c r="C281" s="72" t="s">
        <v>190</v>
      </c>
      <c r="D281" s="82">
        <f>D276/D280</f>
        <v>9.2067470826545037</v>
      </c>
      <c r="E281" s="82">
        <f t="shared" ref="E281:K281" si="56">E276/E280</f>
        <v>11.905940450498179</v>
      </c>
      <c r="F281" s="82">
        <f t="shared" si="56"/>
        <v>11.885789215672569</v>
      </c>
      <c r="G281" s="82">
        <f ca="1">G276/G280</f>
        <v>12.677799919041901</v>
      </c>
      <c r="H281" s="82">
        <f t="shared" ca="1" si="56"/>
        <v>13.924199856612246</v>
      </c>
      <c r="I281" s="82">
        <f t="shared" ca="1" si="56"/>
        <v>15.166939593307854</v>
      </c>
      <c r="J281" s="82">
        <f t="shared" ca="1" si="56"/>
        <v>16.465059058600534</v>
      </c>
      <c r="K281" s="82">
        <f t="shared" ca="1" si="56"/>
        <v>17.818085631594585</v>
      </c>
      <c r="O281" t="s">
        <v>199</v>
      </c>
    </row>
    <row r="282" spans="1:15" x14ac:dyDescent="0.55000000000000004">
      <c r="C282" s="71"/>
    </row>
    <row r="283" spans="1:15" x14ac:dyDescent="0.55000000000000004">
      <c r="C283" s="71" t="s">
        <v>191</v>
      </c>
      <c r="D283" s="34"/>
      <c r="E283" s="34"/>
      <c r="F283" s="34"/>
      <c r="G283" s="34">
        <f>-G189</f>
        <v>67101</v>
      </c>
      <c r="H283" s="34">
        <f>-H189</f>
        <v>67101</v>
      </c>
      <c r="I283" s="34">
        <f>-I189</f>
        <v>67101</v>
      </c>
      <c r="J283" s="34">
        <f>-J189</f>
        <v>67101</v>
      </c>
      <c r="K283" s="34">
        <f>-K189</f>
        <v>67101</v>
      </c>
      <c r="O283" t="s">
        <v>200</v>
      </c>
    </row>
    <row r="284" spans="1:15" x14ac:dyDescent="0.55000000000000004">
      <c r="C284" s="71" t="s">
        <v>192</v>
      </c>
      <c r="D284" s="34"/>
      <c r="E284" s="34"/>
      <c r="F284" s="34"/>
      <c r="G284" s="34">
        <f>G33</f>
        <v>6208.9633245443447</v>
      </c>
      <c r="H284" s="34">
        <f>H33</f>
        <v>6521.9852311552859</v>
      </c>
      <c r="I284" s="34">
        <f>I33</f>
        <v>6846.668564349975</v>
      </c>
      <c r="J284" s="34">
        <f>J33</f>
        <v>7183.013324128412</v>
      </c>
      <c r="K284" s="34">
        <f>K33</f>
        <v>7531.019510490597</v>
      </c>
      <c r="O284" t="s">
        <v>201</v>
      </c>
    </row>
    <row r="285" spans="1:15" x14ac:dyDescent="0.55000000000000004">
      <c r="C285" s="71" t="s">
        <v>193</v>
      </c>
      <c r="G285" s="83">
        <v>258.81868400826869</v>
      </c>
      <c r="H285" s="83">
        <f>G285*(1+H286)</f>
        <v>297.64148660950895</v>
      </c>
      <c r="I285" s="83">
        <f t="shared" ref="I285:K285" si="57">H285*(1+I286)</f>
        <v>342.28770960093527</v>
      </c>
      <c r="J285" s="83">
        <f t="shared" si="57"/>
        <v>393.63086604107554</v>
      </c>
      <c r="K285" s="83">
        <f t="shared" si="57"/>
        <v>452.67549594723681</v>
      </c>
      <c r="O285" t="s">
        <v>202</v>
      </c>
    </row>
    <row r="286" spans="1:15" x14ac:dyDescent="0.55000000000000004">
      <c r="C286" s="71" t="s">
        <v>194</v>
      </c>
      <c r="H286" s="88">
        <v>0.15</v>
      </c>
      <c r="I286" s="88">
        <f>H286</f>
        <v>0.15</v>
      </c>
      <c r="J286" s="88">
        <f t="shared" ref="J286:K286" si="58">I286</f>
        <v>0.15</v>
      </c>
      <c r="K286" s="88">
        <f t="shared" si="58"/>
        <v>0.15</v>
      </c>
      <c r="O286" t="s">
        <v>152</v>
      </c>
    </row>
    <row r="288" spans="1:15" ht="14.7" thickBot="1" x14ac:dyDescent="0.6">
      <c r="A288" s="12" t="s">
        <v>31</v>
      </c>
      <c r="C288" s="73" t="s">
        <v>222</v>
      </c>
      <c r="D288" s="21"/>
      <c r="E288" s="21"/>
      <c r="F288" s="21"/>
      <c r="G288" s="21"/>
      <c r="H288" s="21"/>
      <c r="I288" s="21"/>
      <c r="J288" s="21"/>
      <c r="K288" s="21"/>
    </row>
    <row r="289" spans="3:15" x14ac:dyDescent="0.55000000000000004">
      <c r="C289" s="5" t="s">
        <v>8</v>
      </c>
      <c r="D289" s="24">
        <f>E289-1</f>
        <v>2017</v>
      </c>
      <c r="E289" s="24">
        <f>F289-1</f>
        <v>2018</v>
      </c>
      <c r="F289" s="24">
        <f>G289-1</f>
        <v>2019</v>
      </c>
      <c r="G289" s="25">
        <v>2020</v>
      </c>
      <c r="H289" s="25">
        <f>G289+1</f>
        <v>2021</v>
      </c>
      <c r="I289" s="25">
        <f>H289+1</f>
        <v>2022</v>
      </c>
      <c r="J289" s="25">
        <f>I289+1</f>
        <v>2023</v>
      </c>
      <c r="K289" s="25">
        <f>J289+1</f>
        <v>2024</v>
      </c>
    </row>
    <row r="290" spans="3:15" ht="14.7" thickBot="1" x14ac:dyDescent="0.6">
      <c r="C290" s="20" t="s">
        <v>9</v>
      </c>
      <c r="D290" s="37">
        <f t="shared" ref="D290:K290" si="59">D16</f>
        <v>43008</v>
      </c>
      <c r="E290" s="37">
        <f t="shared" si="59"/>
        <v>43373</v>
      </c>
      <c r="F290" s="37">
        <f t="shared" si="59"/>
        <v>43736</v>
      </c>
      <c r="G290" s="37">
        <f t="shared" si="59"/>
        <v>44104</v>
      </c>
      <c r="H290" s="37">
        <f t="shared" si="59"/>
        <v>44469</v>
      </c>
      <c r="I290" s="37">
        <f t="shared" si="59"/>
        <v>44834</v>
      </c>
      <c r="J290" s="37">
        <f t="shared" si="59"/>
        <v>45199</v>
      </c>
      <c r="K290" s="37">
        <f t="shared" si="59"/>
        <v>45565</v>
      </c>
    </row>
    <row r="291" spans="3:15" ht="14.7" thickBot="1" x14ac:dyDescent="0.6">
      <c r="C291" s="89" t="s">
        <v>205</v>
      </c>
      <c r="D291" s="90"/>
      <c r="E291" s="90"/>
      <c r="F291" s="91"/>
      <c r="G291" s="90"/>
      <c r="H291" s="90"/>
      <c r="I291" s="90"/>
      <c r="J291" s="90"/>
      <c r="K291" s="90"/>
    </row>
    <row r="292" spans="3:15" x14ac:dyDescent="0.55000000000000004">
      <c r="C292" s="4" t="s">
        <v>206</v>
      </c>
    </row>
    <row r="293" spans="3:15" x14ac:dyDescent="0.55000000000000004">
      <c r="C293" s="27" t="s">
        <v>207</v>
      </c>
      <c r="D293" s="16">
        <v>139337</v>
      </c>
      <c r="E293" s="16">
        <v>164888</v>
      </c>
      <c r="F293" s="16">
        <v>142381</v>
      </c>
      <c r="G293" s="43">
        <f>G303*G308/1000</f>
        <v>138474.00000000006</v>
      </c>
      <c r="H293" s="43">
        <f t="shared" ref="H293:K293" si="60">H303*H308/1000</f>
        <v>151895.25272422467</v>
      </c>
      <c r="I293" s="43">
        <f t="shared" si="60"/>
        <v>165816.50544844934</v>
      </c>
      <c r="J293" s="43">
        <f t="shared" si="60"/>
        <v>180237.75817267399</v>
      </c>
      <c r="K293" s="43">
        <f t="shared" si="60"/>
        <v>195159.01089689863</v>
      </c>
    </row>
    <row r="294" spans="3:15" x14ac:dyDescent="0.55000000000000004">
      <c r="C294" s="27" t="s">
        <v>208</v>
      </c>
      <c r="D294" s="16">
        <v>18802</v>
      </c>
      <c r="E294" s="16">
        <v>18380</v>
      </c>
      <c r="F294" s="16">
        <v>21280</v>
      </c>
      <c r="G294" s="43">
        <v>20474</v>
      </c>
      <c r="H294" s="43">
        <f t="shared" ref="H294:K295" si="61">G294</f>
        <v>20474</v>
      </c>
      <c r="I294" s="43">
        <f t="shared" si="61"/>
        <v>20474</v>
      </c>
      <c r="J294" s="43">
        <f t="shared" si="61"/>
        <v>20474</v>
      </c>
      <c r="K294" s="43">
        <f t="shared" si="61"/>
        <v>20474</v>
      </c>
    </row>
    <row r="295" spans="3:15" x14ac:dyDescent="0.55000000000000004">
      <c r="C295" s="27" t="s">
        <v>209</v>
      </c>
      <c r="D295" s="16">
        <v>25569</v>
      </c>
      <c r="E295" s="16">
        <v>25198</v>
      </c>
      <c r="F295" s="16">
        <v>25740</v>
      </c>
      <c r="G295" s="43">
        <v>27400</v>
      </c>
      <c r="H295" s="43">
        <f t="shared" si="61"/>
        <v>27400</v>
      </c>
      <c r="I295" s="43">
        <f t="shared" si="61"/>
        <v>27400</v>
      </c>
      <c r="J295" s="43">
        <f t="shared" si="61"/>
        <v>27400</v>
      </c>
      <c r="K295" s="43">
        <f t="shared" si="61"/>
        <v>27400</v>
      </c>
    </row>
    <row r="297" spans="3:15" x14ac:dyDescent="0.55000000000000004">
      <c r="C297" s="27" t="s">
        <v>210</v>
      </c>
      <c r="D297" s="16">
        <v>32700</v>
      </c>
      <c r="E297" s="16">
        <v>39748</v>
      </c>
      <c r="F297" s="16">
        <v>46291</v>
      </c>
      <c r="G297" s="16">
        <v>53592</v>
      </c>
      <c r="H297" s="16">
        <f>G297</f>
        <v>53592</v>
      </c>
      <c r="I297" s="16">
        <f t="shared" ref="I297:K297" si="62">H297</f>
        <v>53592</v>
      </c>
      <c r="J297" s="16">
        <f t="shared" si="62"/>
        <v>53592</v>
      </c>
      <c r="K297" s="16">
        <f t="shared" si="62"/>
        <v>53592</v>
      </c>
      <c r="O297" t="s">
        <v>214</v>
      </c>
    </row>
    <row r="298" spans="3:15" x14ac:dyDescent="0.55000000000000004">
      <c r="C298" s="27" t="s">
        <v>211</v>
      </c>
      <c r="D298" s="16">
        <v>12826</v>
      </c>
      <c r="E298" s="16">
        <v>17381</v>
      </c>
      <c r="F298" s="16">
        <v>24482</v>
      </c>
      <c r="G298" s="16">
        <v>26278</v>
      </c>
      <c r="H298" s="16">
        <f>G298</f>
        <v>26278</v>
      </c>
      <c r="I298" s="16">
        <f t="shared" ref="I298:K298" si="63">H298</f>
        <v>26278</v>
      </c>
      <c r="J298" s="16">
        <f t="shared" si="63"/>
        <v>26278</v>
      </c>
      <c r="K298" s="16">
        <f t="shared" si="63"/>
        <v>26278</v>
      </c>
      <c r="O298" t="s">
        <v>214</v>
      </c>
    </row>
    <row r="299" spans="3:15" x14ac:dyDescent="0.55000000000000004">
      <c r="C299" s="72" t="s">
        <v>212</v>
      </c>
      <c r="D299" s="17">
        <f>SUM(D293:D295,D297:D298)</f>
        <v>229234</v>
      </c>
      <c r="E299" s="17">
        <f t="shared" ref="E299:K299" si="64">SUM(E293:E295,E297:E298)</f>
        <v>265595</v>
      </c>
      <c r="F299" s="17">
        <f t="shared" si="64"/>
        <v>260174</v>
      </c>
      <c r="G299" s="17">
        <f t="shared" si="64"/>
        <v>266218.00000000006</v>
      </c>
      <c r="H299" s="17">
        <f t="shared" si="64"/>
        <v>279639.2527242247</v>
      </c>
      <c r="I299" s="17">
        <f t="shared" si="64"/>
        <v>293560.50544844934</v>
      </c>
      <c r="J299" s="17">
        <f t="shared" si="64"/>
        <v>307981.75817267399</v>
      </c>
      <c r="K299" s="17">
        <f t="shared" si="64"/>
        <v>322903.01089689863</v>
      </c>
    </row>
    <row r="300" spans="3:15" x14ac:dyDescent="0.55000000000000004">
      <c r="C300" s="44" t="s">
        <v>213</v>
      </c>
      <c r="D300" s="30"/>
      <c r="E300" s="92">
        <f>(E299/D299)-1</f>
        <v>0.15861957650261305</v>
      </c>
      <c r="F300" s="92">
        <f t="shared" ref="F300:K300" si="65">(F299/E299)-1</f>
        <v>-2.04107758052674E-2</v>
      </c>
      <c r="G300" s="92">
        <f t="shared" si="65"/>
        <v>2.3230607209021814E-2</v>
      </c>
      <c r="H300" s="92">
        <f t="shared" si="65"/>
        <v>5.0414520145988018E-2</v>
      </c>
      <c r="I300" s="92">
        <f t="shared" si="65"/>
        <v>4.9782899176724404E-2</v>
      </c>
      <c r="J300" s="92">
        <f t="shared" si="65"/>
        <v>4.9125316439261546E-2</v>
      </c>
      <c r="K300" s="92">
        <f t="shared" si="65"/>
        <v>4.8448495173077255E-2</v>
      </c>
    </row>
    <row r="302" spans="3:15" ht="14.7" thickBot="1" x14ac:dyDescent="0.6">
      <c r="C302" s="36" t="s">
        <v>215</v>
      </c>
      <c r="D302" s="21"/>
      <c r="E302" s="21"/>
      <c r="F302" s="21"/>
      <c r="G302" s="21"/>
      <c r="H302" s="21"/>
      <c r="I302" s="21"/>
      <c r="J302" s="21"/>
      <c r="K302" s="21"/>
    </row>
    <row r="303" spans="3:15" x14ac:dyDescent="0.55000000000000004">
      <c r="C303" s="27" t="s">
        <v>207</v>
      </c>
      <c r="D303" s="16">
        <v>216756</v>
      </c>
      <c r="E303" s="16">
        <v>217722</v>
      </c>
      <c r="F303" s="16">
        <v>187200</v>
      </c>
      <c r="G303" s="16">
        <f>G245</f>
        <v>190880</v>
      </c>
      <c r="H303" s="16">
        <f t="shared" ref="H303:K303" si="66">H245</f>
        <v>195880</v>
      </c>
      <c r="I303" s="16">
        <f t="shared" si="66"/>
        <v>200880</v>
      </c>
      <c r="J303" s="16">
        <f t="shared" si="66"/>
        <v>205880</v>
      </c>
      <c r="K303" s="16">
        <f t="shared" si="66"/>
        <v>210880</v>
      </c>
      <c r="O303" t="s">
        <v>214</v>
      </c>
    </row>
    <row r="304" spans="3:15" x14ac:dyDescent="0.55000000000000004">
      <c r="C304" s="27" t="s">
        <v>208</v>
      </c>
      <c r="D304" s="16">
        <v>43753</v>
      </c>
      <c r="E304" s="16">
        <v>43535</v>
      </c>
      <c r="F304" s="16">
        <v>49900</v>
      </c>
      <c r="G304" s="16">
        <v>49260</v>
      </c>
      <c r="H304" s="16">
        <f t="shared" ref="H304:K305" si="67">G304</f>
        <v>49260</v>
      </c>
      <c r="I304" s="16">
        <f t="shared" si="67"/>
        <v>49260</v>
      </c>
      <c r="J304" s="16">
        <f t="shared" si="67"/>
        <v>49260</v>
      </c>
      <c r="K304" s="16">
        <f t="shared" si="67"/>
        <v>49260</v>
      </c>
      <c r="O304" t="s">
        <v>214</v>
      </c>
    </row>
    <row r="305" spans="3:15" x14ac:dyDescent="0.55000000000000004">
      <c r="C305" s="27" t="s">
        <v>209</v>
      </c>
      <c r="D305" s="16">
        <v>19251</v>
      </c>
      <c r="E305" s="16">
        <v>18209</v>
      </c>
      <c r="F305" s="16">
        <v>17500</v>
      </c>
      <c r="G305" s="16">
        <v>19140</v>
      </c>
      <c r="H305" s="16">
        <f t="shared" si="67"/>
        <v>19140</v>
      </c>
      <c r="I305" s="16">
        <f t="shared" si="67"/>
        <v>19140</v>
      </c>
      <c r="J305" s="16">
        <f t="shared" si="67"/>
        <v>19140</v>
      </c>
      <c r="K305" s="16">
        <f t="shared" si="67"/>
        <v>19140</v>
      </c>
      <c r="O305" t="s">
        <v>214</v>
      </c>
    </row>
    <row r="307" spans="3:15" ht="14.7" thickBot="1" x14ac:dyDescent="0.6">
      <c r="C307" s="73" t="s">
        <v>216</v>
      </c>
      <c r="D307" s="21"/>
      <c r="E307" s="21"/>
      <c r="F307" s="21"/>
      <c r="G307" s="21"/>
      <c r="H307" s="21"/>
      <c r="I307" s="21"/>
      <c r="J307" s="21"/>
      <c r="K307" s="21"/>
    </row>
    <row r="308" spans="3:15" x14ac:dyDescent="0.55000000000000004">
      <c r="C308" s="27" t="s">
        <v>207</v>
      </c>
      <c r="D308" s="93">
        <f t="shared" ref="D308:F310" si="68">D293/(D303/1000)</f>
        <v>642.82880289357615</v>
      </c>
      <c r="E308" s="93">
        <f t="shared" si="68"/>
        <v>757.33274542765537</v>
      </c>
      <c r="F308" s="93">
        <f t="shared" si="68"/>
        <v>760.58226495726501</v>
      </c>
      <c r="G308" s="94">
        <f>G246</f>
        <v>725.45054484492903</v>
      </c>
      <c r="H308" s="94">
        <f t="shared" ref="H308:K308" si="69">H246</f>
        <v>775.45054484492903</v>
      </c>
      <c r="I308" s="94">
        <f t="shared" si="69"/>
        <v>825.45054484492903</v>
      </c>
      <c r="J308" s="94">
        <f t="shared" si="69"/>
        <v>875.45054484492903</v>
      </c>
      <c r="K308" s="94">
        <f t="shared" si="69"/>
        <v>925.45054484492903</v>
      </c>
      <c r="O308" t="s">
        <v>214</v>
      </c>
    </row>
    <row r="309" spans="3:15" x14ac:dyDescent="0.55000000000000004">
      <c r="C309" s="27" t="s">
        <v>208</v>
      </c>
      <c r="D309" s="93">
        <f t="shared" si="68"/>
        <v>429.73053276346764</v>
      </c>
      <c r="E309" s="93">
        <f t="shared" si="68"/>
        <v>422.18904329849551</v>
      </c>
      <c r="F309" s="93">
        <f t="shared" si="68"/>
        <v>426.45290581162328</v>
      </c>
      <c r="G309" s="94">
        <f t="shared" ref="G309:K309" si="70">G294/(G304/1000)</f>
        <v>415.63134388956558</v>
      </c>
      <c r="H309" s="94">
        <f t="shared" si="70"/>
        <v>415.63134388956558</v>
      </c>
      <c r="I309" s="94">
        <f t="shared" si="70"/>
        <v>415.63134388956558</v>
      </c>
      <c r="J309" s="94">
        <f t="shared" si="70"/>
        <v>415.63134388956558</v>
      </c>
      <c r="K309" s="94">
        <f t="shared" si="70"/>
        <v>415.63134388956558</v>
      </c>
      <c r="O309" t="s">
        <v>214</v>
      </c>
    </row>
    <row r="310" spans="3:15" x14ac:dyDescent="0.55000000000000004">
      <c r="C310" s="27" t="s">
        <v>209</v>
      </c>
      <c r="D310" s="93">
        <f t="shared" si="68"/>
        <v>1328.1907433380084</v>
      </c>
      <c r="E310" s="93">
        <f t="shared" si="68"/>
        <v>1383.8211873249493</v>
      </c>
      <c r="F310" s="93">
        <f t="shared" si="68"/>
        <v>1470.8571428571429</v>
      </c>
      <c r="G310" s="94">
        <f t="shared" ref="G310:K310" si="71">G295/(G305/1000)</f>
        <v>1431.556948798328</v>
      </c>
      <c r="H310" s="94">
        <f t="shared" si="71"/>
        <v>1431.556948798328</v>
      </c>
      <c r="I310" s="94">
        <f t="shared" si="71"/>
        <v>1431.556948798328</v>
      </c>
      <c r="J310" s="94">
        <f t="shared" si="71"/>
        <v>1431.556948798328</v>
      </c>
      <c r="K310" s="94">
        <f t="shared" si="71"/>
        <v>1431.556948798328</v>
      </c>
      <c r="O310" t="s">
        <v>214</v>
      </c>
    </row>
    <row r="312" spans="3:15" ht="14.7" thickBot="1" x14ac:dyDescent="0.6">
      <c r="C312" s="73" t="s">
        <v>217</v>
      </c>
      <c r="D312" s="21"/>
      <c r="E312" s="21"/>
      <c r="F312" s="21"/>
      <c r="G312" s="21"/>
      <c r="H312" s="21"/>
      <c r="I312" s="21"/>
      <c r="J312" s="21"/>
      <c r="K312" s="21"/>
    </row>
    <row r="313" spans="3:15" x14ac:dyDescent="0.55000000000000004">
      <c r="C313" s="27" t="s">
        <v>207</v>
      </c>
      <c r="D313" s="31"/>
      <c r="E313" s="92">
        <f>(E303/D303)-1</f>
        <v>4.4566240380889965E-3</v>
      </c>
      <c r="F313" s="92">
        <f>(F303/E303)-1</f>
        <v>-0.14018794609639817</v>
      </c>
      <c r="G313" s="92">
        <f t="shared" ref="G313:K315" si="72">(G303/F303)-1</f>
        <v>1.9658119658119588E-2</v>
      </c>
      <c r="H313" s="92">
        <f t="shared" si="72"/>
        <v>2.6194467728415827E-2</v>
      </c>
      <c r="I313" s="92">
        <f t="shared" si="72"/>
        <v>2.5525832142127891E-2</v>
      </c>
      <c r="J313" s="92">
        <f t="shared" si="72"/>
        <v>2.4890481879729087E-2</v>
      </c>
      <c r="K313" s="92">
        <f t="shared" si="72"/>
        <v>2.4285991839906762E-2</v>
      </c>
    </row>
    <row r="314" spans="3:15" x14ac:dyDescent="0.55000000000000004">
      <c r="C314" s="27" t="s">
        <v>208</v>
      </c>
      <c r="D314" s="31"/>
      <c r="E314" s="92">
        <f t="shared" ref="E314:F315" si="73">(E304/D304)-1</f>
        <v>-4.98251548465245E-3</v>
      </c>
      <c r="F314" s="92">
        <f t="shared" si="73"/>
        <v>0.14620420351441377</v>
      </c>
      <c r="G314" s="92">
        <f t="shared" si="72"/>
        <v>-1.2825651302605157E-2</v>
      </c>
      <c r="H314" s="92">
        <f t="shared" si="72"/>
        <v>0</v>
      </c>
      <c r="I314" s="92">
        <f t="shared" si="72"/>
        <v>0</v>
      </c>
      <c r="J314" s="92">
        <f t="shared" si="72"/>
        <v>0</v>
      </c>
      <c r="K314" s="92">
        <f t="shared" si="72"/>
        <v>0</v>
      </c>
    </row>
    <row r="315" spans="3:15" x14ac:dyDescent="0.55000000000000004">
      <c r="C315" s="27" t="s">
        <v>209</v>
      </c>
      <c r="D315" s="31"/>
      <c r="E315" s="92">
        <f t="shared" si="73"/>
        <v>-5.4127058334631939E-2</v>
      </c>
      <c r="F315" s="92">
        <f t="shared" si="73"/>
        <v>-3.8936789499697921E-2</v>
      </c>
      <c r="G315" s="92">
        <f t="shared" si="72"/>
        <v>9.3714285714285639E-2</v>
      </c>
      <c r="H315" s="92">
        <f t="shared" si="72"/>
        <v>0</v>
      </c>
      <c r="I315" s="92">
        <f t="shared" si="72"/>
        <v>0</v>
      </c>
      <c r="J315" s="92">
        <f t="shared" si="72"/>
        <v>0</v>
      </c>
      <c r="K315" s="92">
        <f t="shared" si="72"/>
        <v>0</v>
      </c>
    </row>
    <row r="317" spans="3:15" ht="14.7" thickBot="1" x14ac:dyDescent="0.6">
      <c r="C317" s="73" t="s">
        <v>218</v>
      </c>
      <c r="D317" s="21"/>
      <c r="E317" s="21"/>
      <c r="F317" s="21"/>
      <c r="G317" s="21"/>
      <c r="H317" s="21"/>
      <c r="I317" s="21"/>
      <c r="J317" s="21"/>
      <c r="K317" s="21"/>
    </row>
    <row r="318" spans="3:15" x14ac:dyDescent="0.55000000000000004">
      <c r="C318" s="27" t="s">
        <v>207</v>
      </c>
      <c r="D318" s="31"/>
      <c r="E318" s="92">
        <f>(E308/D308)-1</f>
        <v>0.17812509647772568</v>
      </c>
      <c r="F318" s="92">
        <f>(F308/E308)-1</f>
        <v>4.2907421463398432E-3</v>
      </c>
      <c r="G318" s="92">
        <f t="shared" ref="G318:K320" si="74">(G308/F308)-1</f>
        <v>-4.6190559168915013E-2</v>
      </c>
      <c r="H318" s="92">
        <f t="shared" si="74"/>
        <v>6.8922685847162546E-2</v>
      </c>
      <c r="I318" s="92">
        <f t="shared" si="74"/>
        <v>6.4478644489183834E-2</v>
      </c>
      <c r="J318" s="92">
        <f t="shared" si="74"/>
        <v>6.0572980794861619E-2</v>
      </c>
      <c r="K318" s="92">
        <f t="shared" si="74"/>
        <v>5.7113448948571621E-2</v>
      </c>
    </row>
    <row r="319" spans="3:15" x14ac:dyDescent="0.55000000000000004">
      <c r="C319" s="27" t="s">
        <v>208</v>
      </c>
      <c r="D319" s="31"/>
      <c r="E319" s="92">
        <f t="shared" ref="E319:F320" si="75">(E309/D309)-1</f>
        <v>-1.7549345205878364E-2</v>
      </c>
      <c r="F319" s="92">
        <f t="shared" si="75"/>
        <v>1.0099415370457887E-2</v>
      </c>
      <c r="G319" s="92">
        <f t="shared" si="74"/>
        <v>-2.5375749055952967E-2</v>
      </c>
      <c r="H319" s="92">
        <f t="shared" si="74"/>
        <v>0</v>
      </c>
      <c r="I319" s="92">
        <f t="shared" si="74"/>
        <v>0</v>
      </c>
      <c r="J319" s="92">
        <f t="shared" si="74"/>
        <v>0</v>
      </c>
      <c r="K319" s="92">
        <f t="shared" si="74"/>
        <v>0</v>
      </c>
    </row>
    <row r="320" spans="3:15" x14ac:dyDescent="0.55000000000000004">
      <c r="C320" s="27" t="s">
        <v>209</v>
      </c>
      <c r="D320" s="31"/>
      <c r="E320" s="92">
        <f t="shared" si="75"/>
        <v>4.1884378630083319E-2</v>
      </c>
      <c r="F320" s="92">
        <f t="shared" si="75"/>
        <v>6.2895377184130297E-2</v>
      </c>
      <c r="G320" s="92">
        <f t="shared" si="74"/>
        <v>-2.671924615498289E-2</v>
      </c>
      <c r="H320" s="92">
        <f t="shared" si="74"/>
        <v>0</v>
      </c>
      <c r="I320" s="92">
        <f t="shared" si="74"/>
        <v>0</v>
      </c>
      <c r="J320" s="92">
        <f t="shared" si="74"/>
        <v>0</v>
      </c>
      <c r="K320" s="92">
        <f t="shared" si="74"/>
        <v>0</v>
      </c>
    </row>
    <row r="322" spans="3:15" ht="14.7" thickBot="1" x14ac:dyDescent="0.6">
      <c r="C322" s="73" t="s">
        <v>219</v>
      </c>
      <c r="D322" s="21"/>
      <c r="E322" s="21"/>
      <c r="F322" s="21"/>
      <c r="G322" s="21"/>
      <c r="H322" s="21"/>
      <c r="I322" s="21"/>
      <c r="J322" s="21"/>
      <c r="K322" s="21"/>
    </row>
    <row r="323" spans="3:15" x14ac:dyDescent="0.55000000000000004">
      <c r="C323" s="27" t="s">
        <v>207</v>
      </c>
      <c r="D323" s="31"/>
      <c r="E323" s="92">
        <f>(E293/D293)-1</f>
        <v>0.18337555710256437</v>
      </c>
      <c r="F323" s="92">
        <f>(F293/E293)-1</f>
        <v>-0.13649871427878313</v>
      </c>
      <c r="G323" s="92">
        <f t="shared" ref="G323:K325" si="76">(G293/F293)-1</f>
        <v>-2.7440459050013244E-2</v>
      </c>
      <c r="H323" s="92">
        <f t="shared" si="76"/>
        <v>9.6922546645757279E-2</v>
      </c>
      <c r="I323" s="92">
        <f t="shared" si="76"/>
        <v>9.165034768729452E-2</v>
      </c>
      <c r="J323" s="92">
        <f t="shared" si="76"/>
        <v>8.6971153355466457E-2</v>
      </c>
      <c r="K323" s="92">
        <f t="shared" si="76"/>
        <v>8.278649754359213E-2</v>
      </c>
    </row>
    <row r="324" spans="3:15" x14ac:dyDescent="0.55000000000000004">
      <c r="C324" s="27" t="s">
        <v>208</v>
      </c>
      <c r="D324" s="31"/>
      <c r="E324" s="92">
        <f t="shared" ref="E324:F328" si="77">(E294/D294)-1</f>
        <v>-2.2444420806297161E-2</v>
      </c>
      <c r="F324" s="92">
        <f t="shared" si="77"/>
        <v>0.15778019586507064</v>
      </c>
      <c r="G324" s="92">
        <f>(G294/F294)-1</f>
        <v>-3.7875939849624007E-2</v>
      </c>
      <c r="H324" s="92">
        <f t="shared" si="76"/>
        <v>0</v>
      </c>
      <c r="I324" s="92">
        <f t="shared" si="76"/>
        <v>0</v>
      </c>
      <c r="J324" s="92">
        <f t="shared" si="76"/>
        <v>0</v>
      </c>
      <c r="K324" s="92">
        <f t="shared" si="76"/>
        <v>0</v>
      </c>
    </row>
    <row r="325" spans="3:15" x14ac:dyDescent="0.55000000000000004">
      <c r="C325" s="27" t="s">
        <v>209</v>
      </c>
      <c r="D325" s="31"/>
      <c r="E325" s="92">
        <f t="shared" si="77"/>
        <v>-1.4509757909969112E-2</v>
      </c>
      <c r="F325" s="92">
        <f t="shared" si="77"/>
        <v>2.1509643622509733E-2</v>
      </c>
      <c r="G325" s="92">
        <f t="shared" si="76"/>
        <v>6.4491064491064565E-2</v>
      </c>
      <c r="H325" s="92">
        <f t="shared" si="76"/>
        <v>0</v>
      </c>
      <c r="I325" s="92">
        <f t="shared" si="76"/>
        <v>0</v>
      </c>
      <c r="J325" s="92">
        <f t="shared" si="76"/>
        <v>0</v>
      </c>
      <c r="K325" s="92">
        <f t="shared" si="76"/>
        <v>0</v>
      </c>
    </row>
    <row r="326" spans="3:15" x14ac:dyDescent="0.55000000000000004">
      <c r="D326" s="87"/>
      <c r="E326" s="87"/>
      <c r="F326" s="87"/>
      <c r="G326" s="87"/>
      <c r="H326" s="87"/>
      <c r="I326" s="87"/>
      <c r="J326" s="87"/>
      <c r="K326" s="87"/>
    </row>
    <row r="327" spans="3:15" x14ac:dyDescent="0.55000000000000004">
      <c r="C327" s="27" t="s">
        <v>210</v>
      </c>
      <c r="D327" s="31"/>
      <c r="E327" s="92">
        <f t="shared" si="77"/>
        <v>0.21553516819571872</v>
      </c>
      <c r="F327" s="92">
        <f t="shared" si="77"/>
        <v>0.16461205595250084</v>
      </c>
      <c r="G327" s="92">
        <f t="shared" ref="G327:G328" si="78">(G297/F297)-1</f>
        <v>0.15771964312717368</v>
      </c>
      <c r="H327" s="92">
        <f t="shared" ref="H327:H328" si="79">(H297/G297)-1</f>
        <v>0</v>
      </c>
      <c r="I327" s="92">
        <f t="shared" ref="I327:I328" si="80">(I297/H297)-1</f>
        <v>0</v>
      </c>
      <c r="J327" s="92">
        <f t="shared" ref="J327:J328" si="81">(J297/I297)-1</f>
        <v>0</v>
      </c>
      <c r="K327" s="92">
        <f t="shared" ref="K327:K328" si="82">(K297/J297)-1</f>
        <v>0</v>
      </c>
      <c r="O327" t="s">
        <v>214</v>
      </c>
    </row>
    <row r="328" spans="3:15" x14ac:dyDescent="0.55000000000000004">
      <c r="C328" s="27" t="s">
        <v>211</v>
      </c>
      <c r="D328" s="31"/>
      <c r="E328" s="92">
        <f t="shared" si="77"/>
        <v>0.35513800093559955</v>
      </c>
      <c r="F328" s="92">
        <f t="shared" si="77"/>
        <v>0.40854956561762834</v>
      </c>
      <c r="G328" s="92">
        <f t="shared" si="78"/>
        <v>7.3360019606241389E-2</v>
      </c>
      <c r="H328" s="92">
        <f t="shared" si="79"/>
        <v>0</v>
      </c>
      <c r="I328" s="92">
        <f t="shared" si="80"/>
        <v>0</v>
      </c>
      <c r="J328" s="92">
        <f t="shared" si="81"/>
        <v>0</v>
      </c>
      <c r="K328" s="92">
        <f t="shared" si="82"/>
        <v>0</v>
      </c>
      <c r="O328" t="s">
        <v>214</v>
      </c>
    </row>
  </sheetData>
  <conditionalFormatting sqref="E68:K68">
    <cfRule type="cellIs" dxfId="3" priority="1" operator="equal">
      <formula>"Ok"</formula>
    </cfRule>
    <cfRule type="cellIs" dxfId="2" priority="2" operator="equal">
      <formula>"Out of balance"</formula>
    </cfRule>
  </conditionalFormatting>
  <conditionalFormatting sqref="G207:K207">
    <cfRule type="cellIs" dxfId="1" priority="3" operator="equal">
      <formula>"Negative Debt"</formula>
    </cfRule>
    <cfRule type="cellIs" dxfId="0" priority="4" operator="equal">
      <formula>"Ok"</formula>
    </cfRule>
  </conditionalFormatting>
  <dataValidations count="4">
    <dataValidation type="list" allowBlank="1" showInputMessage="1" showErrorMessage="1" sqref="D7" xr:uid="{B8ADD690-0390-4C94-BA54-C3F0D2F67017}">
      <formula1>"0,1"</formula1>
    </dataValidation>
    <dataValidation type="list" allowBlank="1" showInputMessage="1" showErrorMessage="1" sqref="D12" xr:uid="{17DC8FD8-A0F3-4A16-B3B4-8599D63648CB}">
      <formula1>"Best Case, Base Case, Weak Case"</formula1>
    </dataValidation>
    <dataValidation type="list" allowBlank="1" showInputMessage="1" showErrorMessage="1" sqref="G112 G122" xr:uid="{DB29C9AD-CD52-439A-B38E-873DCF38ED32}">
      <formula1>"1,2"</formula1>
    </dataValidation>
    <dataValidation type="list" allowBlank="1" showInputMessage="1" showErrorMessage="1" sqref="E167" xr:uid="{EFB05B4D-8B33-42AD-89A5-9F9631DB60C8}">
      <formula1>"1,.5"</formula1>
    </dataValidation>
  </dataValidations>
  <pageMargins left="0.7" right="0.7" top="0.75" bottom="0.75" header="0.3" footer="0.3"/>
  <ignoredErrors>
    <ignoredError sqref="G84:G85" formulaRange="1"/>
    <ignoredError sqref="G88:J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E Pilcher</dc:creator>
  <cp:lastModifiedBy>Joshua E Pilcher</cp:lastModifiedBy>
  <dcterms:created xsi:type="dcterms:W3CDTF">2025-10-07T19:29:02Z</dcterms:created>
  <dcterms:modified xsi:type="dcterms:W3CDTF">2025-10-21T15:38:54Z</dcterms:modified>
</cp:coreProperties>
</file>