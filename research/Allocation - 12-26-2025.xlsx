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"/>
    </mc:Choice>
  </mc:AlternateContent>
  <xr:revisionPtr revIDLastSave="0" documentId="13_ncr:1_{F88E67C4-BA57-448D-B96B-E236A3306DB3}" xr6:coauthVersionLast="47" xr6:coauthVersionMax="47" xr10:uidLastSave="{00000000-0000-0000-0000-000000000000}"/>
  <bookViews>
    <workbookView xWindow="-96" yWindow="-96" windowWidth="23232" windowHeight="13872" xr2:uid="{FE632EF2-E6E7-4557-AABC-28C9518251D7}"/>
  </bookViews>
  <sheets>
    <sheet name="Sheet1" sheetId="1" r:id="rId1"/>
  </sheets>
  <definedNames>
    <definedName name="solver_adj" localSheetId="0" hidden="1">Sheet1!$K$73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Sheet1!$D$73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0.7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1" l="1"/>
  <c r="K75" i="1"/>
  <c r="L75" i="1" s="1"/>
  <c r="N74" i="1"/>
  <c r="N75" i="1"/>
  <c r="N76" i="1"/>
  <c r="N73" i="1"/>
  <c r="C76" i="1"/>
  <c r="D76" i="1" s="1"/>
  <c r="G73" i="1"/>
  <c r="C73" i="1" s="1"/>
  <c r="D73" i="1" s="1"/>
  <c r="D74" i="1"/>
  <c r="D77" i="1"/>
  <c r="C74" i="1"/>
  <c r="C75" i="1"/>
  <c r="D75" i="1" s="1"/>
  <c r="C77" i="1"/>
  <c r="F63" i="1"/>
  <c r="F60" i="1"/>
  <c r="F54" i="1"/>
  <c r="F53" i="1"/>
  <c r="F52" i="1"/>
  <c r="F51" i="1"/>
  <c r="F50" i="1"/>
  <c r="F49" i="1"/>
  <c r="F48" i="1"/>
  <c r="F62" i="1" s="1"/>
  <c r="F47" i="1"/>
  <c r="F61" i="1" s="1"/>
  <c r="F45" i="1"/>
  <c r="F59" i="1" s="1"/>
  <c r="F44" i="1"/>
  <c r="F43" i="1"/>
  <c r="F58" i="1" s="1"/>
  <c r="F36" i="1"/>
  <c r="F35" i="1"/>
  <c r="F34" i="1"/>
  <c r="F33" i="1"/>
  <c r="F32" i="1"/>
  <c r="F31" i="1"/>
  <c r="F30" i="1"/>
  <c r="F29" i="1"/>
  <c r="F27" i="1"/>
  <c r="F26" i="1"/>
  <c r="F25" i="1"/>
  <c r="F12" i="1"/>
  <c r="F13" i="1"/>
  <c r="F14" i="1"/>
  <c r="F15" i="1"/>
  <c r="F16" i="1"/>
  <c r="F17" i="1"/>
  <c r="F18" i="1"/>
  <c r="F11" i="1"/>
  <c r="F55" i="1" l="1"/>
  <c r="G60" i="1" s="1"/>
  <c r="F37" i="1"/>
  <c r="F20" i="1"/>
  <c r="F4" i="1"/>
  <c r="F5" i="1"/>
  <c r="F6" i="1"/>
  <c r="G62" i="1" l="1"/>
  <c r="G61" i="1"/>
  <c r="F65" i="1"/>
  <c r="F64" i="1"/>
  <c r="F66" i="1" s="1"/>
  <c r="G63" i="1"/>
  <c r="G58" i="1"/>
  <c r="G59" i="1"/>
  <c r="G46" i="1"/>
  <c r="G50" i="1"/>
  <c r="G53" i="1"/>
  <c r="G44" i="1"/>
  <c r="G55" i="1"/>
  <c r="G52" i="1"/>
  <c r="G51" i="1"/>
  <c r="G48" i="1"/>
  <c r="G45" i="1"/>
  <c r="G43" i="1"/>
  <c r="G49" i="1"/>
  <c r="G54" i="1"/>
  <c r="G47" i="1"/>
  <c r="G37" i="1"/>
  <c r="G26" i="1"/>
  <c r="G28" i="1"/>
  <c r="G31" i="1"/>
  <c r="G25" i="1"/>
  <c r="G30" i="1"/>
  <c r="G27" i="1"/>
  <c r="G36" i="1"/>
  <c r="G35" i="1"/>
  <c r="G34" i="1"/>
  <c r="G33" i="1"/>
  <c r="G32" i="1"/>
  <c r="G29" i="1"/>
  <c r="F8" i="1"/>
  <c r="G66" i="1" l="1"/>
  <c r="G6" i="1"/>
  <c r="G5" i="1"/>
  <c r="G4" i="1"/>
  <c r="G8" i="1" l="1"/>
  <c r="H73" i="1"/>
  <c r="H77" i="1" s="1"/>
  <c r="L73" i="1"/>
  <c r="L76" i="1"/>
  <c r="H76" i="1"/>
  <c r="H75" i="1"/>
  <c r="L74" i="1"/>
  <c r="G74" i="1"/>
  <c r="G79" i="1" s="1"/>
  <c r="L77" i="1" l="1"/>
</calcChain>
</file>

<file path=xl/sharedStrings.xml><?xml version="1.0" encoding="utf-8"?>
<sst xmlns="http://schemas.openxmlformats.org/spreadsheetml/2006/main" count="134" uniqueCount="36">
  <si>
    <t>VOO</t>
  </si>
  <si>
    <t>VTI</t>
  </si>
  <si>
    <t>AVUV</t>
  </si>
  <si>
    <t>CASH</t>
  </si>
  <si>
    <t>TOTAL</t>
  </si>
  <si>
    <t xml:space="preserve">naive </t>
  </si>
  <si>
    <t>naïve investors</t>
  </si>
  <si>
    <t>don’t scan</t>
  </si>
  <si>
    <t>informed investors</t>
  </si>
  <si>
    <t>scan</t>
  </si>
  <si>
    <t>arbitrage opportunity exists</t>
  </si>
  <si>
    <t>IIAXX</t>
  </si>
  <si>
    <t>BUPXX</t>
  </si>
  <si>
    <t>USIG</t>
  </si>
  <si>
    <t>IUSV</t>
  </si>
  <si>
    <t>IUSG</t>
  </si>
  <si>
    <t>VEA</t>
  </si>
  <si>
    <t>VWO</t>
  </si>
  <si>
    <t>VTWO</t>
  </si>
  <si>
    <t>QUANTITY</t>
  </si>
  <si>
    <t>PRICE</t>
  </si>
  <si>
    <t>VALUE</t>
  </si>
  <si>
    <t>ALLOCATION</t>
  </si>
  <si>
    <t>BONDS</t>
  </si>
  <si>
    <t>DESC</t>
  </si>
  <si>
    <t>EXP RAT</t>
  </si>
  <si>
    <t>SP VALUE</t>
  </si>
  <si>
    <t>SP GROWTH</t>
  </si>
  <si>
    <t>UNDERPERFORMS</t>
  </si>
  <si>
    <t>FTSE ALL CAP</t>
  </si>
  <si>
    <t>ASSET LOCATION</t>
  </si>
  <si>
    <t>SECURITY</t>
  </si>
  <si>
    <t>BROKERAGE</t>
  </si>
  <si>
    <t>ROTH IRA</t>
  </si>
  <si>
    <t>hypothetical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</si>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</sst>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 #,##0.00\ _)_);[Red]_(\(\ #,##0.00\ \)_);_(\ #,##0.00\ _)_)"/>
    <numFmt numFmtId="165" formatCode="#,##0.00%\ _)_);[Red]_(\(\ #,##0.00%\ \)_)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/>
    <xf numFmtId="165" fontId="0" fillId="0" borderId="5" xfId="0" applyNumberFormat="1" applyBorder="1"/>
    <xf numFmtId="0" fontId="2" fillId="0" borderId="6" xfId="0" applyFont="1" applyBorder="1"/>
    <xf numFmtId="164" fontId="2" fillId="0" borderId="7" xfId="0" applyNumberFormat="1" applyFont="1" applyBorder="1"/>
    <xf numFmtId="165" fontId="2" fillId="0" borderId="8" xfId="0" applyNumberFormat="1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C56D-1197-4CC3-BD04-E353E92BD780}">
  <dimension ref="B2:N79"/>
  <sheetViews>
    <sheetView tabSelected="1" topLeftCell="A68" workbookViewId="0">
      <selection activeCell="K80" sqref="K80"/>
    </sheetView>
  </sheetViews>
  <sheetFormatPr defaultColWidth="2.578125" defaultRowHeight="14.4" x14ac:dyDescent="0.55000000000000004"/>
  <cols>
    <col min="2" max="2" width="10.47265625" bestFit="1" customWidth="1"/>
    <col min="3" max="3" width="14.41796875" bestFit="1" customWidth="1"/>
    <col min="4" max="4" width="11.1015625" bestFit="1" customWidth="1"/>
    <col min="5" max="5" width="8.734375" bestFit="1" customWidth="1"/>
    <col min="6" max="7" width="11.47265625" bestFit="1" customWidth="1"/>
    <col min="8" max="8" width="11.1015625" bestFit="1" customWidth="1"/>
    <col min="9" max="9" width="15.3125" bestFit="1" customWidth="1"/>
    <col min="10" max="10" width="8.41796875" bestFit="1" customWidth="1"/>
    <col min="11" max="11" width="11.47265625" bestFit="1" customWidth="1"/>
    <col min="12" max="12" width="11.1015625" bestFit="1" customWidth="1"/>
    <col min="13" max="13" width="22.5234375" bestFit="1" customWidth="1"/>
    <col min="14" max="14" width="8.7890625" bestFit="1" customWidth="1"/>
  </cols>
  <sheetData>
    <row r="2" spans="2:14" x14ac:dyDescent="0.55000000000000004">
      <c r="D2" s="3" t="s">
        <v>19</v>
      </c>
      <c r="E2" s="3" t="s">
        <v>20</v>
      </c>
      <c r="F2" s="3" t="s">
        <v>21</v>
      </c>
      <c r="G2" s="3" t="s">
        <v>22</v>
      </c>
    </row>
    <row r="4" spans="2:14" x14ac:dyDescent="0.55000000000000004">
      <c r="B4" t="s">
        <v>0</v>
      </c>
      <c r="D4" s="2">
        <v>15.2232</v>
      </c>
      <c r="E4" s="2">
        <v>631.57039999999995</v>
      </c>
      <c r="F4" s="2">
        <f>(D4*E4)+F7</f>
        <v>9641.0425132799992</v>
      </c>
      <c r="G4" s="1">
        <f>F4/$F$8</f>
        <v>0.69874106680358439</v>
      </c>
      <c r="M4" t="s">
        <v>5</v>
      </c>
    </row>
    <row r="5" spans="2:14" x14ac:dyDescent="0.55000000000000004">
      <c r="B5" t="s">
        <v>1</v>
      </c>
      <c r="D5" s="2">
        <v>8.0969999999999995</v>
      </c>
      <c r="E5" s="2">
        <v>338.13</v>
      </c>
      <c r="F5" s="2">
        <f t="shared" ref="F5:F6" si="0">D5*E5</f>
        <v>2737.8386099999998</v>
      </c>
      <c r="G5" s="1">
        <f t="shared" ref="G5:G6" si="1">F5/$F$8</f>
        <v>0.19842670213852245</v>
      </c>
      <c r="M5" t="s">
        <v>6</v>
      </c>
      <c r="N5" t="s">
        <v>7</v>
      </c>
    </row>
    <row r="6" spans="2:14" x14ac:dyDescent="0.55000000000000004">
      <c r="B6" t="s">
        <v>2</v>
      </c>
      <c r="D6" s="2">
        <v>14.219799999999999</v>
      </c>
      <c r="E6" s="2">
        <v>99.78</v>
      </c>
      <c r="F6" s="2">
        <f t="shared" si="0"/>
        <v>1418.8516439999999</v>
      </c>
      <c r="G6" s="1">
        <f t="shared" si="1"/>
        <v>0.1028322310578931</v>
      </c>
      <c r="M6" t="s">
        <v>8</v>
      </c>
      <c r="N6" t="s">
        <v>9</v>
      </c>
    </row>
    <row r="7" spans="2:14" x14ac:dyDescent="0.55000000000000004">
      <c r="B7" t="s">
        <v>3</v>
      </c>
      <c r="D7" s="2"/>
      <c r="E7" s="2"/>
      <c r="F7" s="2">
        <v>26.52</v>
      </c>
      <c r="G7" s="1"/>
      <c r="M7" t="s">
        <v>10</v>
      </c>
    </row>
    <row r="8" spans="2:14" x14ac:dyDescent="0.55000000000000004">
      <c r="B8" s="4" t="s">
        <v>4</v>
      </c>
      <c r="C8" s="4"/>
      <c r="D8" s="5"/>
      <c r="E8" s="5"/>
      <c r="F8" s="5">
        <f>SUM(F4:F6)</f>
        <v>13797.73276728</v>
      </c>
      <c r="G8" s="6">
        <f>SUM(G4:G6)</f>
        <v>0.99999999999999989</v>
      </c>
    </row>
    <row r="10" spans="2:14" x14ac:dyDescent="0.55000000000000004">
      <c r="C10" s="3" t="s">
        <v>24</v>
      </c>
      <c r="H10" s="3" t="s">
        <v>25</v>
      </c>
    </row>
    <row r="11" spans="2:14" x14ac:dyDescent="0.55000000000000004">
      <c r="B11" t="s">
        <v>11</v>
      </c>
      <c r="D11" s="2">
        <v>605.87</v>
      </c>
      <c r="E11" s="2">
        <v>1</v>
      </c>
      <c r="F11" s="2">
        <f>D11*E11</f>
        <v>605.87</v>
      </c>
    </row>
    <row r="12" spans="2:14" x14ac:dyDescent="0.55000000000000004">
      <c r="B12" t="s">
        <v>12</v>
      </c>
      <c r="D12" s="2">
        <v>113</v>
      </c>
      <c r="E12" s="2">
        <v>1</v>
      </c>
      <c r="F12" s="2">
        <f t="shared" ref="F12:F18" si="2">D12*E12</f>
        <v>113</v>
      </c>
    </row>
    <row r="13" spans="2:14" x14ac:dyDescent="0.55000000000000004">
      <c r="B13" t="s">
        <v>13</v>
      </c>
      <c r="C13" t="s">
        <v>23</v>
      </c>
      <c r="D13" s="2">
        <v>13</v>
      </c>
      <c r="E13" s="2">
        <v>52.7</v>
      </c>
      <c r="F13" s="2">
        <f t="shared" si="2"/>
        <v>685.1</v>
      </c>
      <c r="H13" s="1">
        <v>4.0000000000000002E-4</v>
      </c>
    </row>
    <row r="14" spans="2:14" x14ac:dyDescent="0.55000000000000004">
      <c r="B14" t="s">
        <v>14</v>
      </c>
      <c r="C14" t="s">
        <v>26</v>
      </c>
      <c r="D14" s="2">
        <v>111</v>
      </c>
      <c r="E14" s="2">
        <v>102.0916</v>
      </c>
      <c r="F14" s="2">
        <f t="shared" si="2"/>
        <v>11332.167600000001</v>
      </c>
      <c r="H14" s="1">
        <v>4.0000000000000002E-4</v>
      </c>
      <c r="I14" t="s">
        <v>28</v>
      </c>
    </row>
    <row r="15" spans="2:14" x14ac:dyDescent="0.55000000000000004">
      <c r="B15" t="s">
        <v>15</v>
      </c>
      <c r="C15" t="s">
        <v>27</v>
      </c>
      <c r="D15" s="2">
        <v>57</v>
      </c>
      <c r="E15" s="2">
        <v>171.471</v>
      </c>
      <c r="F15" s="2">
        <f t="shared" si="2"/>
        <v>9773.8469999999998</v>
      </c>
      <c r="H15" s="1">
        <v>4.0000000000000002E-4</v>
      </c>
      <c r="I15" t="s">
        <v>28</v>
      </c>
    </row>
    <row r="16" spans="2:14" x14ac:dyDescent="0.55000000000000004">
      <c r="B16" t="s">
        <v>16</v>
      </c>
      <c r="C16" t="s">
        <v>29</v>
      </c>
      <c r="D16" s="2">
        <v>88</v>
      </c>
      <c r="E16" s="2">
        <v>61.774999999999999</v>
      </c>
      <c r="F16" s="2">
        <f t="shared" si="2"/>
        <v>5436.2</v>
      </c>
      <c r="H16" s="1">
        <v>2.9999999999999997E-4</v>
      </c>
    </row>
    <row r="17" spans="2:7" x14ac:dyDescent="0.55000000000000004">
      <c r="B17" t="s">
        <v>17</v>
      </c>
      <c r="D17" s="2">
        <v>56</v>
      </c>
      <c r="E17" s="2">
        <v>55.65</v>
      </c>
      <c r="F17" s="2">
        <f t="shared" si="2"/>
        <v>3116.4</v>
      </c>
    </row>
    <row r="18" spans="2:7" x14ac:dyDescent="0.55000000000000004">
      <c r="B18" t="s">
        <v>18</v>
      </c>
      <c r="D18" s="2">
        <v>36</v>
      </c>
      <c r="E18" s="2">
        <v>100.68</v>
      </c>
      <c r="F18" s="2">
        <f t="shared" si="2"/>
        <v>3624.4800000000005</v>
      </c>
    </row>
    <row r="20" spans="2:7" x14ac:dyDescent="0.55000000000000004">
      <c r="B20" s="4" t="s">
        <v>4</v>
      </c>
      <c r="C20" s="4"/>
      <c r="D20" s="4"/>
      <c r="E20" s="4"/>
      <c r="F20" s="5">
        <f>SUM(F11:F18)</f>
        <v>34687.064600000005</v>
      </c>
    </row>
    <row r="24" spans="2:7" x14ac:dyDescent="0.55000000000000004">
      <c r="B24" s="3" t="s">
        <v>31</v>
      </c>
      <c r="C24" s="3" t="s">
        <v>30</v>
      </c>
      <c r="D24" s="3" t="s">
        <v>19</v>
      </c>
      <c r="E24" s="3" t="s">
        <v>20</v>
      </c>
      <c r="F24" s="3" t="s">
        <v>21</v>
      </c>
      <c r="G24" s="3" t="s">
        <v>22</v>
      </c>
    </row>
    <row r="25" spans="2:7" x14ac:dyDescent="0.55000000000000004">
      <c r="B25" t="s">
        <v>0</v>
      </c>
      <c r="C25" t="s">
        <v>32</v>
      </c>
      <c r="D25" s="2">
        <v>15.2232</v>
      </c>
      <c r="E25" s="2">
        <v>631.57039999999995</v>
      </c>
      <c r="F25" s="2">
        <f>(D25*E25)+F28</f>
        <v>9641.0425132799992</v>
      </c>
      <c r="G25" s="1">
        <f t="shared" ref="G25:G37" si="3">F25/$F$37</f>
        <v>0.19873800664466609</v>
      </c>
    </row>
    <row r="26" spans="2:7" x14ac:dyDescent="0.55000000000000004">
      <c r="B26" t="s">
        <v>1</v>
      </c>
      <c r="C26" t="s">
        <v>32</v>
      </c>
      <c r="D26" s="2">
        <v>8.0969999999999995</v>
      </c>
      <c r="E26" s="2">
        <v>338.13</v>
      </c>
      <c r="F26" s="2">
        <f t="shared" ref="F26:F27" si="4">D26*E26</f>
        <v>2737.8386099999998</v>
      </c>
      <c r="G26" s="1">
        <f t="shared" si="3"/>
        <v>5.6437111144019801E-2</v>
      </c>
    </row>
    <row r="27" spans="2:7" x14ac:dyDescent="0.55000000000000004">
      <c r="B27" t="s">
        <v>2</v>
      </c>
      <c r="C27" t="s">
        <v>32</v>
      </c>
      <c r="D27" s="2">
        <v>14.219799999999999</v>
      </c>
      <c r="E27" s="2">
        <v>99.78</v>
      </c>
      <c r="F27" s="2">
        <f t="shared" si="4"/>
        <v>1418.8516439999999</v>
      </c>
      <c r="G27" s="1">
        <f t="shared" si="3"/>
        <v>2.9247848151759105E-2</v>
      </c>
    </row>
    <row r="28" spans="2:7" x14ac:dyDescent="0.55000000000000004">
      <c r="B28" t="s">
        <v>3</v>
      </c>
      <c r="C28" t="s">
        <v>32</v>
      </c>
      <c r="D28" s="2">
        <v>26.52</v>
      </c>
      <c r="E28" s="2">
        <v>1</v>
      </c>
      <c r="F28" s="2">
        <v>26.52</v>
      </c>
      <c r="G28" s="1">
        <f t="shared" si="3"/>
        <v>5.4667655795072789E-4</v>
      </c>
    </row>
    <row r="29" spans="2:7" x14ac:dyDescent="0.55000000000000004">
      <c r="B29" t="s">
        <v>11</v>
      </c>
      <c r="C29" t="s">
        <v>33</v>
      </c>
      <c r="D29" s="2">
        <v>605.87</v>
      </c>
      <c r="E29" s="2">
        <v>1</v>
      </c>
      <c r="F29" s="2">
        <f>D29*E29</f>
        <v>605.87</v>
      </c>
      <c r="G29" s="1">
        <f t="shared" si="3"/>
        <v>1.2489250609562878E-2</v>
      </c>
    </row>
    <row r="30" spans="2:7" x14ac:dyDescent="0.55000000000000004">
      <c r="B30" t="s">
        <v>12</v>
      </c>
      <c r="C30" t="s">
        <v>33</v>
      </c>
      <c r="D30" s="2">
        <v>113</v>
      </c>
      <c r="E30" s="2">
        <v>1</v>
      </c>
      <c r="F30" s="2">
        <f t="shared" ref="F30:F36" si="5">D30*E30</f>
        <v>113</v>
      </c>
      <c r="G30" s="1">
        <f t="shared" si="3"/>
        <v>2.3293533577840217E-3</v>
      </c>
    </row>
    <row r="31" spans="2:7" x14ac:dyDescent="0.55000000000000004">
      <c r="B31" t="s">
        <v>13</v>
      </c>
      <c r="C31" t="s">
        <v>33</v>
      </c>
      <c r="D31" s="2">
        <v>13</v>
      </c>
      <c r="E31" s="2">
        <v>52.7</v>
      </c>
      <c r="F31" s="2">
        <f t="shared" si="5"/>
        <v>685.1</v>
      </c>
      <c r="G31" s="1">
        <f t="shared" si="3"/>
        <v>1.4122477747060472E-2</v>
      </c>
    </row>
    <row r="32" spans="2:7" x14ac:dyDescent="0.55000000000000004">
      <c r="B32" t="s">
        <v>14</v>
      </c>
      <c r="C32" t="s">
        <v>33</v>
      </c>
      <c r="D32" s="2">
        <v>111</v>
      </c>
      <c r="E32" s="2">
        <v>102.0916</v>
      </c>
      <c r="F32" s="2">
        <f t="shared" si="5"/>
        <v>11332.167600000001</v>
      </c>
      <c r="G32" s="1">
        <f t="shared" si="3"/>
        <v>0.23359843053125043</v>
      </c>
    </row>
    <row r="33" spans="2:7" x14ac:dyDescent="0.55000000000000004">
      <c r="B33" t="s">
        <v>15</v>
      </c>
      <c r="C33" t="s">
        <v>33</v>
      </c>
      <c r="D33" s="2">
        <v>57</v>
      </c>
      <c r="E33" s="2">
        <v>171.471</v>
      </c>
      <c r="F33" s="2">
        <f t="shared" si="5"/>
        <v>9773.8469999999998</v>
      </c>
      <c r="G33" s="1">
        <f t="shared" si="3"/>
        <v>0.2014756046718344</v>
      </c>
    </row>
    <row r="34" spans="2:7" x14ac:dyDescent="0.55000000000000004">
      <c r="B34" t="s">
        <v>16</v>
      </c>
      <c r="C34" t="s">
        <v>33</v>
      </c>
      <c r="D34" s="2">
        <v>88</v>
      </c>
      <c r="E34" s="2">
        <v>61.774999999999999</v>
      </c>
      <c r="F34" s="2">
        <f t="shared" si="5"/>
        <v>5436.2</v>
      </c>
      <c r="G34" s="1">
        <f t="shared" si="3"/>
        <v>0.11206044888128759</v>
      </c>
    </row>
    <row r="35" spans="2:7" x14ac:dyDescent="0.55000000000000004">
      <c r="B35" t="s">
        <v>17</v>
      </c>
      <c r="C35" t="s">
        <v>33</v>
      </c>
      <c r="D35" s="2">
        <v>56</v>
      </c>
      <c r="E35" s="2">
        <v>55.65</v>
      </c>
      <c r="F35" s="2">
        <f t="shared" si="5"/>
        <v>3116.4</v>
      </c>
      <c r="G35" s="1">
        <f t="shared" si="3"/>
        <v>6.4240679683169252E-2</v>
      </c>
    </row>
    <row r="36" spans="2:7" x14ac:dyDescent="0.55000000000000004">
      <c r="B36" t="s">
        <v>18</v>
      </c>
      <c r="C36" t="s">
        <v>33</v>
      </c>
      <c r="D36" s="2">
        <v>36</v>
      </c>
      <c r="E36" s="2">
        <v>100.68</v>
      </c>
      <c r="F36" s="2">
        <f t="shared" si="5"/>
        <v>3624.4800000000005</v>
      </c>
      <c r="G36" s="1">
        <f t="shared" si="3"/>
        <v>7.4714112019655152E-2</v>
      </c>
    </row>
    <row r="37" spans="2:7" x14ac:dyDescent="0.55000000000000004">
      <c r="F37" s="2">
        <f>SUM(F25:F36)</f>
        <v>48511.317367280004</v>
      </c>
      <c r="G37" s="1">
        <f t="shared" si="3"/>
        <v>1</v>
      </c>
    </row>
    <row r="40" spans="2:7" x14ac:dyDescent="0.55000000000000004">
      <c r="B40" t="s">
        <v>34</v>
      </c>
    </row>
    <row r="42" spans="2:7" x14ac:dyDescent="0.55000000000000004">
      <c r="B42" s="3" t="s">
        <v>31</v>
      </c>
      <c r="C42" s="3" t="s">
        <v>30</v>
      </c>
      <c r="D42" s="3" t="s">
        <v>19</v>
      </c>
      <c r="E42" s="3" t="s">
        <v>20</v>
      </c>
      <c r="F42" s="3" t="s">
        <v>21</v>
      </c>
      <c r="G42" s="3" t="s">
        <v>22</v>
      </c>
    </row>
    <row r="43" spans="2:7" x14ac:dyDescent="0.55000000000000004">
      <c r="B43" t="s">
        <v>0</v>
      </c>
      <c r="C43" t="s">
        <v>32</v>
      </c>
      <c r="D43" s="2">
        <v>15.2232</v>
      </c>
      <c r="E43" s="2">
        <v>631.57039999999995</v>
      </c>
      <c r="F43" s="2">
        <f>(D43*E43)+F46</f>
        <v>9641.0425132799992</v>
      </c>
      <c r="G43" s="1">
        <f t="shared" ref="G43:G55" si="6">F43/$F$37</f>
        <v>0.19873800664466609</v>
      </c>
    </row>
    <row r="44" spans="2:7" x14ac:dyDescent="0.55000000000000004">
      <c r="B44" t="s">
        <v>1</v>
      </c>
      <c r="C44" t="s">
        <v>32</v>
      </c>
      <c r="D44" s="2">
        <v>8.0969999999999995</v>
      </c>
      <c r="E44" s="2">
        <v>338.13</v>
      </c>
      <c r="F44" s="2">
        <f t="shared" ref="F44:F45" si="7">D44*E44</f>
        <v>2737.8386099999998</v>
      </c>
      <c r="G44" s="1">
        <f t="shared" si="6"/>
        <v>5.6437111144019801E-2</v>
      </c>
    </row>
    <row r="45" spans="2:7" x14ac:dyDescent="0.55000000000000004">
      <c r="B45" t="s">
        <v>2</v>
      </c>
      <c r="C45" t="s">
        <v>32</v>
      </c>
      <c r="D45" s="2">
        <v>14.219799999999999</v>
      </c>
      <c r="E45" s="2">
        <v>99.78</v>
      </c>
      <c r="F45" s="2">
        <f t="shared" si="7"/>
        <v>1418.8516439999999</v>
      </c>
      <c r="G45" s="1">
        <f t="shared" si="6"/>
        <v>2.9247848151759105E-2</v>
      </c>
    </row>
    <row r="46" spans="2:7" x14ac:dyDescent="0.55000000000000004">
      <c r="B46" t="s">
        <v>3</v>
      </c>
      <c r="C46" t="s">
        <v>32</v>
      </c>
      <c r="D46" s="2">
        <v>26.52</v>
      </c>
      <c r="E46" s="2">
        <v>1</v>
      </c>
      <c r="F46" s="2">
        <v>26.52</v>
      </c>
      <c r="G46" s="1">
        <f t="shared" si="6"/>
        <v>5.4667655795072789E-4</v>
      </c>
    </row>
    <row r="47" spans="2:7" x14ac:dyDescent="0.55000000000000004">
      <c r="B47" t="s">
        <v>11</v>
      </c>
      <c r="C47" t="s">
        <v>33</v>
      </c>
      <c r="D47" s="2">
        <v>605.87</v>
      </c>
      <c r="E47" s="2">
        <v>1</v>
      </c>
      <c r="F47" s="2">
        <f>D47*E47</f>
        <v>605.87</v>
      </c>
      <c r="G47" s="1">
        <f t="shared" si="6"/>
        <v>1.2489250609562878E-2</v>
      </c>
    </row>
    <row r="48" spans="2:7" x14ac:dyDescent="0.55000000000000004">
      <c r="B48" t="s">
        <v>12</v>
      </c>
      <c r="C48" t="s">
        <v>33</v>
      </c>
      <c r="D48" s="2">
        <v>113</v>
      </c>
      <c r="E48" s="2">
        <v>1</v>
      </c>
      <c r="F48" s="2">
        <f t="shared" ref="F48:F54" si="8">D48*E48</f>
        <v>113</v>
      </c>
      <c r="G48" s="1">
        <f t="shared" si="6"/>
        <v>2.3293533577840217E-3</v>
      </c>
    </row>
    <row r="49" spans="2:7" x14ac:dyDescent="0.55000000000000004">
      <c r="B49" t="s">
        <v>13</v>
      </c>
      <c r="C49" t="s">
        <v>33</v>
      </c>
      <c r="D49" s="2">
        <v>13</v>
      </c>
      <c r="E49" s="2">
        <v>52.7</v>
      </c>
      <c r="F49" s="2">
        <f t="shared" si="8"/>
        <v>685.1</v>
      </c>
      <c r="G49" s="1">
        <f t="shared" si="6"/>
        <v>1.4122477747060472E-2</v>
      </c>
    </row>
    <row r="50" spans="2:7" x14ac:dyDescent="0.55000000000000004">
      <c r="B50" t="s">
        <v>0</v>
      </c>
      <c r="C50" t="s">
        <v>33</v>
      </c>
      <c r="D50" s="2">
        <v>111</v>
      </c>
      <c r="E50" s="2">
        <v>102.0916</v>
      </c>
      <c r="F50" s="2">
        <f t="shared" si="8"/>
        <v>11332.167600000001</v>
      </c>
      <c r="G50" s="1">
        <f t="shared" si="6"/>
        <v>0.23359843053125043</v>
      </c>
    </row>
    <row r="51" spans="2:7" x14ac:dyDescent="0.55000000000000004">
      <c r="B51" t="s">
        <v>0</v>
      </c>
      <c r="C51" t="s">
        <v>33</v>
      </c>
      <c r="D51" s="2">
        <v>57</v>
      </c>
      <c r="E51" s="2">
        <v>171.471</v>
      </c>
      <c r="F51" s="2">
        <f t="shared" si="8"/>
        <v>9773.8469999999998</v>
      </c>
      <c r="G51" s="1">
        <f t="shared" si="6"/>
        <v>0.2014756046718344</v>
      </c>
    </row>
    <row r="52" spans="2:7" x14ac:dyDescent="0.55000000000000004">
      <c r="B52" t="s">
        <v>16</v>
      </c>
      <c r="C52" t="s">
        <v>33</v>
      </c>
      <c r="D52" s="2">
        <v>88</v>
      </c>
      <c r="E52" s="2">
        <v>61.774999999999999</v>
      </c>
      <c r="F52" s="2">
        <f t="shared" si="8"/>
        <v>5436.2</v>
      </c>
      <c r="G52" s="1">
        <f t="shared" si="6"/>
        <v>0.11206044888128759</v>
      </c>
    </row>
    <row r="53" spans="2:7" x14ac:dyDescent="0.55000000000000004">
      <c r="B53" t="s">
        <v>17</v>
      </c>
      <c r="C53" t="s">
        <v>33</v>
      </c>
      <c r="D53" s="2">
        <v>56</v>
      </c>
      <c r="E53" s="2">
        <v>55.65</v>
      </c>
      <c r="F53" s="2">
        <f t="shared" si="8"/>
        <v>3116.4</v>
      </c>
      <c r="G53" s="1">
        <f t="shared" si="6"/>
        <v>6.4240679683169252E-2</v>
      </c>
    </row>
    <row r="54" spans="2:7" x14ac:dyDescent="0.55000000000000004">
      <c r="B54" t="s">
        <v>18</v>
      </c>
      <c r="C54" t="s">
        <v>33</v>
      </c>
      <c r="D54" s="2">
        <v>36</v>
      </c>
      <c r="E54" s="2">
        <v>100.68</v>
      </c>
      <c r="F54" s="2">
        <f t="shared" si="8"/>
        <v>3624.4800000000005</v>
      </c>
      <c r="G54" s="1">
        <f t="shared" si="6"/>
        <v>7.4714112019655152E-2</v>
      </c>
    </row>
    <row r="55" spans="2:7" x14ac:dyDescent="0.55000000000000004">
      <c r="F55" s="2">
        <f>SUM(F43:F54)</f>
        <v>48511.317367280004</v>
      </c>
      <c r="G55" s="1">
        <f t="shared" si="6"/>
        <v>1</v>
      </c>
    </row>
    <row r="57" spans="2:7" x14ac:dyDescent="0.55000000000000004">
      <c r="B57" s="3" t="s">
        <v>31</v>
      </c>
      <c r="C57" s="3" t="s">
        <v>30</v>
      </c>
      <c r="D57" s="3" t="s">
        <v>19</v>
      </c>
      <c r="E57" s="3" t="s">
        <v>20</v>
      </c>
      <c r="F57" s="3" t="s">
        <v>21</v>
      </c>
      <c r="G57" s="3" t="s">
        <v>22</v>
      </c>
    </row>
    <row r="58" spans="2:7" x14ac:dyDescent="0.55000000000000004">
      <c r="B58" t="s">
        <v>1</v>
      </c>
      <c r="F58" s="2">
        <f>F43+F44+F50+F51</f>
        <v>33484.895723280002</v>
      </c>
      <c r="G58" s="1">
        <f t="shared" ref="G58:G63" si="9">F58/$F$55</f>
        <v>0.69024915299177081</v>
      </c>
    </row>
    <row r="59" spans="2:7" x14ac:dyDescent="0.55000000000000004">
      <c r="B59" t="s">
        <v>2</v>
      </c>
      <c r="F59" s="2">
        <f>F45+F54</f>
        <v>5043.3316439999999</v>
      </c>
      <c r="G59" s="1">
        <f t="shared" si="9"/>
        <v>0.10396196017141425</v>
      </c>
    </row>
    <row r="60" spans="2:7" x14ac:dyDescent="0.55000000000000004">
      <c r="B60" t="s">
        <v>3</v>
      </c>
      <c r="F60" s="2">
        <f>F46</f>
        <v>26.52</v>
      </c>
      <c r="G60" s="1">
        <f t="shared" si="9"/>
        <v>5.4667655795072789E-4</v>
      </c>
    </row>
    <row r="61" spans="2:7" x14ac:dyDescent="0.55000000000000004">
      <c r="B61" t="s">
        <v>11</v>
      </c>
      <c r="F61" s="2">
        <f>F47</f>
        <v>605.87</v>
      </c>
      <c r="G61" s="1">
        <f t="shared" si="9"/>
        <v>1.2489250609562878E-2</v>
      </c>
    </row>
    <row r="62" spans="2:7" x14ac:dyDescent="0.55000000000000004">
      <c r="B62" t="s">
        <v>12</v>
      </c>
      <c r="F62" s="2">
        <f>F48</f>
        <v>113</v>
      </c>
      <c r="G62" s="1">
        <f t="shared" si="9"/>
        <v>2.3293533577840217E-3</v>
      </c>
    </row>
    <row r="63" spans="2:7" x14ac:dyDescent="0.55000000000000004">
      <c r="B63" t="s">
        <v>13</v>
      </c>
      <c r="F63" s="2">
        <f>F49</f>
        <v>685.1</v>
      </c>
      <c r="G63" s="1">
        <f t="shared" si="9"/>
        <v>1.4122477747060472E-2</v>
      </c>
    </row>
    <row r="64" spans="2:7" x14ac:dyDescent="0.55000000000000004">
      <c r="B64" t="s">
        <v>16</v>
      </c>
      <c r="F64" s="2">
        <f>G64*$F$55</f>
        <v>7761.8107787648005</v>
      </c>
      <c r="G64" s="1">
        <v>0.16</v>
      </c>
    </row>
    <row r="65" spans="2:14" x14ac:dyDescent="0.55000000000000004">
      <c r="B65" t="s">
        <v>17</v>
      </c>
      <c r="F65" s="2">
        <f>G65*$F$55</f>
        <v>1940.4526946912001</v>
      </c>
      <c r="G65" s="1">
        <v>0.04</v>
      </c>
    </row>
    <row r="66" spans="2:14" x14ac:dyDescent="0.55000000000000004">
      <c r="F66" s="5">
        <f>SUM(F58:F65)</f>
        <v>49660.980840736003</v>
      </c>
      <c r="G66" s="6">
        <f>SUM(G58:G65)</f>
        <v>1.0236988714355431</v>
      </c>
    </row>
    <row r="71" spans="2:14" x14ac:dyDescent="0.55000000000000004">
      <c r="B71" s="7" t="s">
        <v>35</v>
      </c>
      <c r="C71" s="8"/>
      <c r="D71" s="9"/>
      <c r="F71" s="7" t="s">
        <v>32</v>
      </c>
      <c r="G71" s="8"/>
      <c r="H71" s="9"/>
      <c r="J71" s="7" t="s">
        <v>33</v>
      </c>
      <c r="K71" s="8"/>
      <c r="L71" s="9"/>
    </row>
    <row r="72" spans="2:14" x14ac:dyDescent="0.55000000000000004">
      <c r="B72" s="17" t="s">
        <v>31</v>
      </c>
      <c r="C72" s="18" t="s">
        <v>21</v>
      </c>
      <c r="D72" s="19" t="s">
        <v>22</v>
      </c>
      <c r="F72" s="10" t="s">
        <v>31</v>
      </c>
      <c r="G72" s="3" t="s">
        <v>21</v>
      </c>
      <c r="H72" s="11" t="s">
        <v>22</v>
      </c>
      <c r="J72" s="10" t="s">
        <v>31</v>
      </c>
      <c r="K72" s="3" t="s">
        <v>21</v>
      </c>
      <c r="L72" s="11" t="s">
        <v>22</v>
      </c>
    </row>
    <row r="73" spans="2:14" x14ac:dyDescent="0.55000000000000004">
      <c r="B73" s="12" t="s">
        <v>1</v>
      </c>
      <c r="C73" s="2">
        <f>G73+K73</f>
        <v>33939.358157095572</v>
      </c>
      <c r="D73" s="13">
        <f>C73/$C$77</f>
        <v>0.69999999999999107</v>
      </c>
      <c r="F73" s="12" t="s">
        <v>1</v>
      </c>
      <c r="G73" s="2">
        <f>G77-G74</f>
        <v>8953.5202632719993</v>
      </c>
      <c r="H73" s="13">
        <f>G73/$C$77</f>
        <v>0.18466655012390104</v>
      </c>
      <c r="J73" s="12" t="s">
        <v>1</v>
      </c>
      <c r="K73" s="2">
        <v>24985.837893823576</v>
      </c>
      <c r="L73" s="13">
        <f>K73/$C$77</f>
        <v>0.51533344987609009</v>
      </c>
      <c r="N73" s="1">
        <f>K73/$K$77</f>
        <v>0.72169852106080434</v>
      </c>
    </row>
    <row r="74" spans="2:14" x14ac:dyDescent="0.55000000000000004">
      <c r="B74" s="12" t="s">
        <v>2</v>
      </c>
      <c r="C74" s="2">
        <f t="shared" ref="C74:C76" si="10">G74+K74</f>
        <v>4848.4797367280007</v>
      </c>
      <c r="D74" s="13">
        <f t="shared" ref="D74:D77" si="11">C74/$C$77</f>
        <v>0.1</v>
      </c>
      <c r="F74" s="12" t="s">
        <v>2</v>
      </c>
      <c r="G74" s="2">
        <f>$C$77*H74</f>
        <v>4848.4797367280007</v>
      </c>
      <c r="H74" s="13">
        <v>0.1</v>
      </c>
      <c r="J74" s="12" t="s">
        <v>2</v>
      </c>
      <c r="K74" s="2"/>
      <c r="L74" s="13">
        <f t="shared" ref="L74:L76" si="12">K74/$C$77</f>
        <v>0</v>
      </c>
      <c r="N74" s="1">
        <f t="shared" ref="N74:N76" si="13">K74/$K$77</f>
        <v>0</v>
      </c>
    </row>
    <row r="75" spans="2:14" x14ac:dyDescent="0.55000000000000004">
      <c r="B75" s="12" t="s">
        <v>16</v>
      </c>
      <c r="C75" s="2">
        <f t="shared" si="10"/>
        <v>7272.7196050920011</v>
      </c>
      <c r="D75" s="13">
        <f t="shared" si="11"/>
        <v>0.15</v>
      </c>
      <c r="F75" s="12" t="s">
        <v>16</v>
      </c>
      <c r="G75" s="2"/>
      <c r="H75" s="13">
        <f t="shared" ref="H75:H76" si="14">G75/$C$77</f>
        <v>0</v>
      </c>
      <c r="J75" s="12" t="s">
        <v>16</v>
      </c>
      <c r="K75" s="2">
        <f>0.15*C77</f>
        <v>7272.7196050920011</v>
      </c>
      <c r="L75" s="13">
        <f t="shared" si="12"/>
        <v>0.15</v>
      </c>
      <c r="N75" s="1">
        <f t="shared" si="13"/>
        <v>0.21006743921852944</v>
      </c>
    </row>
    <row r="76" spans="2:14" x14ac:dyDescent="0.55000000000000004">
      <c r="B76" s="12" t="s">
        <v>17</v>
      </c>
      <c r="C76" s="2">
        <f t="shared" si="10"/>
        <v>2424.2398683640004</v>
      </c>
      <c r="D76" s="13">
        <f t="shared" si="11"/>
        <v>0.05</v>
      </c>
      <c r="F76" s="12" t="s">
        <v>17</v>
      </c>
      <c r="G76" s="2"/>
      <c r="H76" s="13">
        <f t="shared" si="14"/>
        <v>0</v>
      </c>
      <c r="J76" s="12" t="s">
        <v>17</v>
      </c>
      <c r="K76" s="2">
        <f>0.05*C77</f>
        <v>2424.2398683640004</v>
      </c>
      <c r="L76" s="13">
        <f t="shared" si="12"/>
        <v>0.05</v>
      </c>
      <c r="N76" s="1">
        <f t="shared" si="13"/>
        <v>7.0022479739509813E-2</v>
      </c>
    </row>
    <row r="77" spans="2:14" x14ac:dyDescent="0.55000000000000004">
      <c r="B77" s="14" t="s">
        <v>4</v>
      </c>
      <c r="C77" s="15">
        <f>F8+F20</f>
        <v>48484.797367280007</v>
      </c>
      <c r="D77" s="16">
        <f t="shared" si="11"/>
        <v>1</v>
      </c>
      <c r="E77" s="4"/>
      <c r="F77" s="14" t="s">
        <v>4</v>
      </c>
      <c r="G77" s="15">
        <v>13802</v>
      </c>
      <c r="H77" s="16">
        <f>SUM(H73:H76)</f>
        <v>0.28466655012390107</v>
      </c>
      <c r="J77" s="14" t="s">
        <v>4</v>
      </c>
      <c r="K77" s="15">
        <v>34620.879999999997</v>
      </c>
      <c r="L77" s="16">
        <f>SUM(L73:L76)</f>
        <v>0.71533344987609015</v>
      </c>
    </row>
    <row r="79" spans="2:14" x14ac:dyDescent="0.55000000000000004">
      <c r="G79" s="2">
        <f>SUM(G77,K77)</f>
        <v>48422.879999999997</v>
      </c>
    </row>
  </sheetData>
  <pageMargins left="0.7" right="0.7" top="0.75" bottom="0.75" header="0.3" footer="0.3"/>
  <ignoredErrors>
    <ignoredError sqref="F5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2025-10-28T16:37:27Z</dcterms:created>
  <dcterms:modified xsi:type="dcterms:W3CDTF">2025-11-05T16:40:46Z</dcterms:modified>
</cp:coreProperties>
</file>